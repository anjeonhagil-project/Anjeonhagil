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e24ae5b5544e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안내" sheetId="1" r:id="R4fe0dd4e958d4e11"/>
    <x:sheet xmlns:r="http://schemas.openxmlformats.org/officeDocument/2006/relationships" name="01_화면ID_마스터" sheetId="2" r:id="R903dc2125fd54617"/>
    <x:sheet xmlns:r="http://schemas.openxmlformats.org/officeDocument/2006/relationships" name="02_화면별_데이터매핑" sheetId="3" r:id="Re83b37c19ca640e4"/>
    <x:sheet xmlns:r="http://schemas.openxmlformats.org/officeDocument/2006/relationships" name="03_테이블후보" sheetId="4" r:id="Rf46461358c2b44d9"/>
    <x:sheet xmlns:r="http://schemas.openxmlformats.org/officeDocument/2006/relationships" name="04_테이블관계" sheetId="5" r:id="R120e70257f464372"/>
    <x:sheet xmlns:r="http://schemas.openxmlformats.org/officeDocument/2006/relationships" name="05_정책결정사항" sheetId="6" r:id="R57bdadde089f4fd7"/>
    <x:sheet xmlns:r="http://schemas.openxmlformats.org/officeDocument/2006/relationships" name="06_DB비저장_데이터" sheetId="7" r:id="R87a38593c0554bd5"/>
    <x:sheet xmlns:r="http://schemas.openxmlformats.org/officeDocument/2006/relationships" name="07_역매핑_검증" sheetId="8" r:id="Rb2fd54fd8ec14e32"/>
    <x:sheet xmlns:r="http://schemas.openxmlformats.org/officeDocument/2006/relationships" name="08_컬럼설계_템플릿" sheetId="9" r:id="R5e495c5ceede4468"/>
    <x:sheet xmlns:r="http://schemas.openxmlformats.org/officeDocument/2006/relationships" name="09_코드값_가중치" sheetId="10" r:id="R1645ef53532848a0"/>
    <x:sheet xmlns:r="http://schemas.openxmlformats.org/officeDocument/2006/relationships" name="10_최종_DB검증" sheetId="11" r:id="Rafa504306cbe4150"/>
  </x:sheets>
</x:workbook>
</file>

<file path=xl/sharedStrings.xml><?xml version="1.0" encoding="utf-8"?>
<x:sst xmlns:x="http://schemas.openxmlformats.org/spreadsheetml/2006/main">
  <x:si>
    <x:t xml:space="preserve">안전하길 DB 설계 준비 · 최종 기준</x:t>
  </x:si>
  <x:si>
    <x:t xml:space="preserve">FINAL BASELINE 2026-08-27 · 현재 Figma &gt; 사용자 확정사항 &gt; PDF &gt; PPT</x:t>
  </x:si>
  <x:si>
    <x:t xml:space="preserve">기준 및 범위</x:t>
  </x:si>
  <x:si>
    <x:t xml:space="preserve">현재 정리 현황</x:t>
  </x:si>
  <x:si>
    <x:t xml:space="preserve">기준 문서</x:t>
  </x:si>
  <x:si>
    <x:t xml:space="preserve">현재 Figma 완성본 + 사용자 추가 확정사항(2026-08-27)</x:t>
  </x:si>
  <x:si>
    <x:t xml:space="preserve">DB 전제</x:t>
  </x:si>
  <x:si>
    <x:t xml:space="preserve">Supabase Auth 미사용 / 자체 Backend 인증 / Supabase PostgreSQL + PostGIS</x:t>
  </x:si>
  <x:si>
    <x:t xml:space="preserve">실제 화면(Deprecated 제외)</x:t>
  </x:si>
  <x:si>
    <x:t xml:space="preserve">서비스 범위</x:t>
  </x:si>
  <x:si>
    <x:t xml:space="preserve">강남구 MVP · Kakao Maps · 실제 턴바이턴 Navigation 포함</x:t>
  </x:si>
  <x:si>
    <x:t xml:space="preserve">모바일 실제 화면</x:t>
  </x:si>
  <x:si>
    <x:t xml:space="preserve">설문 규칙</x:t>
  </x:si>
  <x:si>
    <x:t xml:space="preserve">DB 원점수 1~5 / 라우팅 가중치 1~2→0.2, 3→0.5, 4~5→1.0</x:t>
  </x:si>
  <x:si>
    <x:t xml:space="preserve">관리자 화면</x:t>
  </x:si>
  <x:si>
    <x:t xml:space="preserve">관리자 범위</x:t>
  </x:si>
  <x:si>
    <x:t xml:space="preserve">대시보드 · 회원 관리 · 데이터 관리 / Super Admin이 권한 부여</x:t>
  </x:si>
  <x:si>
    <x:t xml:space="preserve">핵심 테이블 후보</x:t>
  </x:si>
  <x:si>
    <x:t xml:space="preserve">제외 범위</x:t>
  </x:si>
  <x:si>
    <x:t xml:space="preserve">사용자·관리자 신고 화면, API, road_reports 계열, 신고 집계 전부 제외</x:t>
  </x:si>
  <x:si>
    <x:t xml:space="preserve">조건부 테이블 후보</x:t>
  </x:si>
  <x:si>
    <x:t xml:space="preserve">목적</x:t>
  </x:si>
  <x:si>
    <x:t xml:space="preserve">화면→데이터→테이블→컬럼을 연결하고 ERD·Supabase 생성 전에 누락 검증</x:t>
  </x:si>
  <x:si>
    <x:t xml:space="preserve">정책·결정 항목</x:t>
  </x:si>
  <x:si>
    <x:t xml:space="preserve">표기</x:t>
  </x:si>
  <x:si>
    <x:t xml:space="preserve">확정=사용자 기준 / 설계권장=DB팀 권장 / 팀 확인=최종 합의 필요</x:t>
  </x:si>
  <x:si>
    <x:t xml:space="preserve">팀 확인 잔여 항목</x:t>
  </x:si>
  <x:si>
    <x:t xml:space="preserve">주의: 화면 ID와 테이블은 1:1이 아닙니다. 민감 데이터는 Frontend가 Supabase에 직접 쓰지 않고 자체 Backend API를 통합니다.</x:t>
  </x:si>
  <x:si>
    <x:t xml:space="preserve">권장 작업 순서</x:t>
  </x:si>
  <x:si>
    <x:t xml:space="preserve">화면 ID 마스터</x:t>
  </x:si>
  <x:si>
    <x:t xml:space="preserve">현재 Figma 기준 · 신고 화면/관리자 신고 메뉴 삭제 · Deprecated ID 재사용 금지</x:t>
  </x:si>
  <x:si>
    <x:t xml:space="preserve">화면 ID</x:t>
  </x:si>
  <x:si>
    <x:t xml:space="preserve">영역</x:t>
  </x:si>
  <x:si>
    <x:t xml:space="preserve">화면명</x:t>
  </x:si>
  <x:si>
    <x:t xml:space="preserve">상태</x:t>
  </x:si>
  <x:si>
    <x:t xml:space="preserve">구분</x:t>
  </x:si>
  <x:si>
    <x:t xml:space="preserve">핵심 역할</x:t>
  </x:si>
  <x:si>
    <x:t xml:space="preserve">근거</x:t>
  </x:si>
  <x:si>
    <x:t xml:space="preserve">비고</x:t>
  </x:si>
  <x:si>
    <x:t xml:space="preserve">M-AUTH-001</x:t>
  </x:si>
  <x:si>
    <x:t xml:space="preserve">인증</x:t>
  </x:si>
  <x:si>
    <x:t xml:space="preserve">Splash</x:t>
  </x:si>
  <x:si>
    <x:t xml:space="preserve">기존</x:t>
  </x:si>
  <x:si>
    <x:t xml:space="preserve">모바일</x:t>
  </x:si>
  <x:si>
    <x:t xml:space="preserve">세션·온보딩 상태 확인 후 화면 분기</x:t>
  </x:si>
  <x:si>
    <x:t xml:space="preserve">최종 Figma + 확정 규칙</x:t>
  </x:si>
  <x:si>
    <x:t xml:space="preserve">자동 로그인 최대 30일</x:t>
  </x:si>
  <x:si>
    <x:t xml:space="preserve">M-AUTH-002</x:t>
  </x:si>
  <x:si>
    <x:t xml:space="preserve">로그인</x:t>
  </x:si>
  <x:si>
    <x:t xml:space="preserve">아이디/이메일+비밀번호 및 소셜 로그인</x:t>
  </x:si>
  <x:si>
    <x:t xml:space="preserve">NAVER/Kakao/Google 연동</x:t>
  </x:si>
  <x:si>
    <x:t xml:space="preserve">M-AUTH-003</x:t>
  </x:si>
  <x:si>
    <x:t xml:space="preserve">회원가입</x:t>
  </x:si>
  <x:si>
    <x:t xml:space="preserve">Local 회원 정보 입력 및 중복 검증</x:t>
  </x:si>
  <x:si>
    <x:t xml:space="preserve">소셜 가입은 추가 입력 화면 생략</x:t>
  </x:si>
  <x:si>
    <x:t xml:space="preserve">M-AUTH-004</x:t>
  </x:si>
  <x:si>
    <x:t xml:space="preserve">이메일 인증</x:t>
  </x:si>
  <x:si>
    <x:t xml:space="preserve">Local 가입 이메일 소유 확인</x:t>
  </x:si>
  <x:si>
    <x:t xml:space="preserve">비밀번호 재설정에도 같은 구조 사용</x:t>
  </x:si>
  <x:si>
    <x:t xml:space="preserve">M-AUTH-005</x:t>
  </x:si>
  <x:si>
    <x:t xml:space="preserve">필수 약관 동의</x:t>
  </x:si>
  <x:si>
    <x:t xml:space="preserve">마케팅 동의 없음</x:t>
  </x:si>
  <x:si>
    <x:t xml:space="preserve">M-AUTH-006</x:t>
  </x:si>
  <x:si>
    <x:t xml:space="preserve">비밀번호 재설정</x:t>
  </x:si>
  <x:si>
    <x:t xml:space="preserve">이메일 인증 후 Local 비밀번호 변경</x:t>
  </x:si>
  <x:si>
    <x:t xml:space="preserve">최종 Figma</x:t>
  </x:si>
  <x:si>
    <x:t xml:space="preserve">소셜 계정 비밀번호는 각 제공자에서 관리</x:t>
  </x:si>
  <x:si>
    <x:t xml:space="preserve">M-ONB-001</x:t>
  </x:si>
  <x:si>
    <x:t xml:space="preserve">온보딩</x:t>
  </x:si>
  <x:si>
    <x:t xml:space="preserve">위치 권한</x:t>
  </x:si>
  <x:si>
    <x:t xml:space="preserve">전경 위치 권한 요청 및 거부 분기</x:t>
  </x:si>
  <x:si>
    <x:t xml:space="preserve">백그라운드 위치 미사용</x:t>
  </x:si>
  <x:si>
    <x:t xml:space="preserve">M-ONB-002-01</x:t>
  </x:si>
  <x:si>
    <x:t xml:space="preserve">설문1 복잡·신호없는 교차로</x:t>
  </x:si>
  <x:si>
    <x:t xml:space="preserve">교차로 운전 부담 원점수 수집</x:t>
  </x:si>
  <x:si>
    <x:t xml:space="preserve">원점수 1~5 저장</x:t>
  </x:si>
  <x:si>
    <x:t xml:space="preserve">M-ONB-002-02</x:t>
  </x:si>
  <x:si>
    <x:t xml:space="preserve">설문2 보행자·어린이 보호구역</x:t>
  </x:si>
  <x:si>
    <x:t xml:space="preserve">보행자·보호구역 운전 부담 원점수 수집</x:t>
  </x:si>
  <x:si>
    <x:t xml:space="preserve">M-ONB-002-03</x:t>
  </x:si>
  <x:si>
    <x:t xml:space="preserve">설문3 좁은 도로·골목길</x:t>
  </x:si>
  <x:si>
    <x:t xml:space="preserve">좁은 도로 운전 부담 원점수 수집</x:t>
  </x:si>
  <x:si>
    <x:t xml:space="preserve">M-ONB-002-04</x:t>
  </x:si>
  <x:si>
    <x:t xml:space="preserve">설문4 좌회전·유턴</x:t>
  </x:si>
  <x:si>
    <x:t xml:space="preserve">반대 교통 확인 회전 부담 원점수 수집</x:t>
  </x:si>
  <x:si>
    <x:t xml:space="preserve">M-ONB-002-05</x:t>
  </x:si>
  <x:si>
    <x:t xml:space="preserve">설문5 터널·지하차도·교량</x:t>
  </x:si>
  <x:si>
    <x:t xml:space="preserve">도로 구조물 통과 부담 원점수 수집</x:t>
  </x:si>
  <x:si>
    <x:t xml:space="preserve">M-ONB-003</x:t>
  </x:si>
  <x:si>
    <x:t xml:space="preserve">설문 완료</x:t>
  </x:si>
  <x:si>
    <x:t xml:space="preserve">5개 원점수 저장·완료 처리</x:t>
  </x:si>
  <x:si>
    <x:t xml:space="preserve">요약 문장은 파생값</x:t>
  </x:si>
  <x:si>
    <x:t xml:space="preserve">M-HOME-001</x:t>
  </x:si>
  <x:si>
    <x:t xml:space="preserve">홈</x:t>
  </x:si>
  <x:si>
    <x:t xml:space="preserve">홈 지도</x:t>
  </x:si>
  <x:si>
    <x:t xml:space="preserve">지도·현재위치·저장 장소·검색 진입</x:t>
  </x:si>
  <x:si>
    <x:t xml:space="preserve">Kakao Maps, 강남구 MVP</x:t>
  </x:si>
  <x:si>
    <x:t xml:space="preserve">M-SRCH-001</x:t>
  </x:si>
  <x:si>
    <x:t xml:space="preserve">검색</x:t>
  </x:si>
  <x:si>
    <x:t xml:space="preserve">출발지/목적지 검색</x:t>
  </x:si>
  <x:si>
    <x:t xml:space="preserve">Kakao 장소·주소 검색 및 장소 선택</x:t>
  </x:si>
  <x:si>
    <x:t xml:space="preserve">최근 검색은 MVP 로컬 저장 권장</x:t>
  </x:si>
  <x:si>
    <x:t xml:space="preserve">M-SRCH-002</x:t>
  </x:si>
  <x:si>
    <x:t xml:space="preserve">검색 결과</x:t>
  </x:si>
  <x:si>
    <x:t xml:space="preserve">정상·Empty·서비스지역 밖 상태 표시</x:t>
  </x:si>
  <x:si>
    <x:t xml:space="preserve">강남구 밖은 경로 생성 차단</x:t>
  </x:si>
  <x:si>
    <x:t xml:space="preserve">M-ROUTE-001</x:t>
  </x:si>
  <x:si>
    <x:t xml:space="preserve">경로</x:t>
  </x:si>
  <x:si>
    <x:t xml:space="preserve">목적지 확인</x:t>
  </x:si>
  <x:si>
    <x:t xml:space="preserve">입력값·최대 우회시간 확인 후 요청 생성</x:t>
  </x:si>
  <x:si>
    <x:t xml:space="preserve">CTA를 눌러야 분석 시작</x:t>
  </x:si>
  <x:si>
    <x:t xml:space="preserve">M-ROUTE-002</x:t>
  </x:si>
  <x:si>
    <x:t xml:space="preserve">경로 옵션</x:t>
  </x:si>
  <x:si>
    <x:t xml:space="preserve">DEPRECATED</x:t>
  </x:si>
  <x:si>
    <x:t xml:space="preserve">최종 범위에서 삭제된 과거 화면</x:t>
  </x:si>
  <x:si>
    <x:t xml:space="preserve">ID 재사용 금지</x:t>
  </x:si>
  <x:si>
    <x:t xml:space="preserve">M-ROUTE-003</x:t>
  </x:si>
  <x:si>
    <x:t xml:space="preserve">경로 계산</x:t>
  </x:si>
  <x:si>
    <x:t xml:space="preserve">계산 중·10초 지연·실패·재시도 상태</x:t>
  </x:si>
  <x:si>
    <x:t xml:space="preserve">처리 방식은 동기/비동기 구현결정</x:t>
  </x:si>
  <x:si>
    <x:t xml:space="preserve">M-ROUTE-004</x:t>
  </x:si>
  <x:si>
    <x:t xml:space="preserve">경로 비교</x:t>
  </x:si>
  <x:si>
    <x:t xml:space="preserve">안심·최단시간·최단거리 후보 비교·선택</x:t>
  </x:si>
  <x:si>
    <x:t xml:space="preserve">0~100 안전점수 노출 금지</x:t>
  </x:si>
  <x:si>
    <x:t xml:space="preserve">M-ROUTE-005</x:t>
  </x:si>
  <x:si>
    <x:t xml:space="preserve">경로 상세</x:t>
  </x:si>
  <x:si>
    <x:t xml:space="preserve">수정</x:t>
  </x:si>
  <x:si>
    <x:t xml:space="preserve">선택 경로의 상세·주의 구간 확인</x:t>
  </x:si>
  <x:si>
    <x:t xml:space="preserve">실제 길안내 화면과 분리</x:t>
  </x:si>
  <x:si>
    <x:t xml:space="preserve">M-NAVI-001</x:t>
  </x:si>
  <x:si>
    <x:t xml:space="preserve">내비</x:t>
  </x:si>
  <x:si>
    <x:t xml:space="preserve">실제 길안내</x:t>
  </x:si>
  <x:si>
    <x:t xml:space="preserve">신규</x:t>
  </x:si>
  <x:si>
    <x:t xml:space="preserve">선택 경로 기반 턴바이턴 길안내</x:t>
  </x:si>
  <x:si>
    <x:t xml:space="preserve">최종 Figma(최신 범위)</x:t>
  </x:si>
  <x:si>
    <x:t xml:space="preserve">이전 경로확인만 범위보다 최신 기준 우선</x:t>
  </x:si>
  <x:si>
    <x:t xml:space="preserve">M-SAVE-001</x:t>
  </x:si>
  <x:si>
    <x:t xml:space="preserve">저장</x:t>
  </x:si>
  <x:si>
    <x:t xml:space="preserve">즐겨찾기</x:t>
  </x:si>
  <x:si>
    <x:t xml:space="preserve">집·회사·일반 저장 장소 관리</x:t>
  </x:si>
  <x:si>
    <x:t xml:space="preserve">전체 최대 5개</x:t>
  </x:si>
  <x:si>
    <x:t xml:space="preserve">M-MY-001</x:t>
  </x:si>
  <x:si>
    <x:t xml:space="preserve">MY</x:t>
  </x:si>
  <x:si>
    <x:t xml:space="preserve">프로필·재설문·공지·문의·약관·로그아웃·탈퇴 진입</x:t>
  </x:si>
  <x:si>
    <x:t xml:space="preserve">신고·기본 경로설정 없음</x:t>
  </x:si>
  <x:si>
    <x:t xml:space="preserve">M-MY-002</x:t>
  </x:si>
  <x:si>
    <x:t xml:space="preserve">프로필 관리</x:t>
  </x:si>
  <x:si>
    <x:t xml:space="preserve">닉네임·Local 비밀번호 변경 및 탈퇴</x:t>
  </x:si>
  <x:si>
    <x:t xml:space="preserve">아이디·이메일 읽기 전용</x:t>
  </x:si>
  <x:si>
    <x:t xml:space="preserve">M-SUPPORT-001</x:t>
  </x:si>
  <x:si>
    <x:t xml:space="preserve">지원</x:t>
  </x:si>
  <x:si>
    <x:t xml:space="preserve">도움말/지원</x:t>
  </x:si>
  <x:si>
    <x:t xml:space="preserve">공지·문의·약관 메뉴 Hub</x:t>
  </x:si>
  <x:si>
    <x:t xml:space="preserve">최종 Figma + 범위 확정</x:t>
  </x:si>
  <x:si>
    <x:t xml:space="preserve">도로 신고 메뉴 완전 제외</x:t>
  </x:si>
  <x:si>
    <x:t xml:space="preserve">M-SUPPORT-004</x:t>
  </x:si>
  <x:si>
    <x:t xml:space="preserve">공지사항</x:t>
  </x:si>
  <x:si>
    <x:t xml:space="preserve">게시 중인 공지 목록 조회</x:t>
  </x:si>
  <x:si>
    <x:t xml:space="preserve">최종 Figma + 설계권장</x:t>
  </x:si>
  <x:si>
    <x:t xml:space="preserve">관리자 전용 메뉴에는 포함하지 않음</x:t>
  </x:si>
  <x:si>
    <x:t xml:space="preserve">M-SUPPORT-005</x:t>
  </x:si>
  <x:si>
    <x:t xml:space="preserve">공지사항 상세</x:t>
  </x:si>
  <x:si>
    <x:t xml:space="preserve">공지 본문 조회</x:t>
  </x:si>
  <x:si>
    <x:t xml:space="preserve">-</x:t>
  </x:si>
  <x:si>
    <x:t xml:space="preserve">M-SUPPORT-006</x:t>
  </x:si>
  <x:si>
    <x:t xml:space="preserve">문의하기</x:t>
  </x:si>
  <x:si>
    <x:t xml:space="preserve">사용자 문의 접수</x:t>
  </x:si>
  <x:si>
    <x:t xml:space="preserve">관리자 UI는 현재 범위 밖</x:t>
  </x:si>
  <x:si>
    <x:t xml:space="preserve">M-SUPPORT-007</x:t>
  </x:si>
  <x:si>
    <x:t xml:space="preserve">약관 및 개인정보</x:t>
  </x:si>
  <x:si>
    <x:t xml:space="preserve">가입 당시 동의 버전은 별도 보존</x:t>
  </x:si>
  <x:si>
    <x:t xml:space="preserve">A-AUTH-001</x:t>
  </x:si>
  <x:si>
    <x:t xml:space="preserve">관리자 인증</x:t>
  </x:si>
  <x:si>
    <x:t xml:space="preserve">관리자 로그인</x:t>
  </x:si>
  <x:si>
    <x:t xml:space="preserve">관리자</x:t>
  </x:si>
  <x:si>
    <x:t xml:space="preserve">운영 관리자 인증·세션 발급</x:t>
  </x:si>
  <x:si>
    <x:t xml:space="preserve">초기 Super Admin 1개</x:t>
  </x:si>
  <x:si>
    <x:t xml:space="preserve">A-DASH-001</x:t>
  </x:si>
  <x:si>
    <x:t xml:space="preserve">관리자 대시보드</x:t>
  </x:si>
  <x:si>
    <x:t xml:space="preserve">운영 대시보드</x:t>
  </x:si>
  <x:si>
    <x:t xml:space="preserve">핵심 KPI와 경로요청 추이 조회</x:t>
  </x:si>
  <x:si>
    <x:t xml:space="preserve">사용자 추가 확정사항</x:t>
  </x:si>
  <x:si>
    <x:t xml:space="preserve">사이드바: 대시보드/회원/데이터</x:t>
  </x:si>
  <x:si>
    <x:t xml:space="preserve">A-MEMBER-001</x:t>
  </x:si>
  <x:si>
    <x:t xml:space="preserve">관리자 회원</x:t>
  </x:si>
  <x:si>
    <x:t xml:space="preserve">회원 관리</x:t>
  </x:si>
  <x:si>
    <x:t xml:space="preserve">회원 목록·검색·계정상태 조회</x:t>
  </x:si>
  <x:si>
    <x:t xml:space="preserve">신고 관련 열 없음</x:t>
  </x:si>
  <x:si>
    <x:t xml:space="preserve">A-MEMBER-002</x:t>
  </x:si>
  <x:si>
    <x:t xml:space="preserve">회원 상세</x:t>
  </x:si>
  <x:si>
    <x:t xml:space="preserve">회원 기본정보·경로 요청 수 조회</x:t>
  </x:si>
  <x:si>
    <x:t xml:space="preserve">도로 신고 수 삭제</x:t>
  </x:si>
  <x:si>
    <x:t xml:space="preserve">A-DATA-001</x:t>
  </x:si>
  <x:si>
    <x:t xml:space="preserve">관리자 데이터</x:t>
  </x:si>
  <x:si>
    <x:t xml:space="preserve">데이터 관리</x:t>
  </x:si>
  <x:si>
    <x:t xml:space="preserve">원천데이터 갱신 현황과 경로 로그 진입</x:t>
  </x:si>
  <x:si>
    <x:t xml:space="preserve">TAAS·표준노드링크 2종</x:t>
  </x:si>
  <x:si>
    <x:t xml:space="preserve">A-ROUTE-001</x:t>
  </x:si>
  <x:si>
    <x:t xml:space="preserve">경로 검색 내역</x:t>
  </x:si>
  <x:si>
    <x:t xml:space="preserve">성공 경로 요청 목록 조회</x:t>
  </x:si>
  <x:si>
    <x:t xml:space="preserve">데이터 관리 하위 화면</x:t>
  </x:si>
  <x:si>
    <x:t xml:space="preserve">A-ROUTE-002</x:t>
  </x:si>
  <x:si>
    <x:t xml:space="preserve">경로 검색 상세</x:t>
  </x:si>
  <x:si>
    <x:t xml:space="preserve">입력값·좌표·후보·선택경로 재현</x:t>
  </x:si>
  <x:si>
    <x:t xml:space="preserve">경로 지도 표시 가능</x:t>
  </x:si>
  <x:si>
    <x:t xml:space="preserve">A-ROUTE-003</x:t>
  </x:si>
  <x:si>
    <x:t xml:space="preserve">실패 경로 검색 내역</x:t>
  </x:si>
  <x:si>
    <x:t xml:space="preserve">실패 요청·원인 목록 조회</x:t>
  </x:si>
  <x:si>
    <x:t xml:space="preserve">서버가 입력값·실패원인 저장</x:t>
  </x:si>
  <x:si>
    <x:t xml:space="preserve">A-ROUTE-004</x:t>
  </x:si>
  <x:si>
    <x:t xml:space="preserve">실패 경로 검색 상세</x:t>
  </x:si>
  <x:si>
    <x:t xml:space="preserve">실패 입력·좌표·반복횟수 조회</x:t>
  </x:si>
  <x:si>
    <x:t xml:space="preserve">동일입력 횟수는 fingerprint 집계</x:t>
  </x:si>
  <x:si>
    <x:t xml:space="preserve">A-ADMIN-001</x:t>
  </x:si>
  <x:si>
    <x:t xml:space="preserve">관리자 계정</x:t>
  </x:si>
  <x:si>
    <x:t xml:space="preserve">관리자 계정 관리</x:t>
  </x:si>
  <x:si>
    <x:t xml:space="preserve">확정</x:t>
  </x:si>
  <x:si>
    <x:t xml:space="preserve">Super Admin이 운영 관리자 권한 부여·회수</x:t>
  </x:si>
  <x:si>
    <x:t xml:space="preserve">Super Admin 1개 초기 발급</x:t>
  </x:si>
  <x:si>
    <x:t xml:space="preserve">DB에 저장하지 않는 데이터</x:t>
  </x:si>
  <x:si>
    <x:t xml:space="preserve">런타임·외부 API·파생값·보안 민감값·서비스 제외 데이터를 명시</x:t>
  </x:si>
  <x:si>
    <x:t xml:space="preserve">데이터/상태</x:t>
  </x:si>
  <x:si>
    <x:t xml:space="preserve">DB Table 필요</x:t>
  </x:si>
  <x:si>
    <x:t xml:space="preserve">이유</x:t>
  </x:si>
  <x:si>
    <x:t xml:space="preserve">대체 위치/처리</x:t>
  </x:si>
  <x:si>
    <x:t xml:space="preserve">관련 화면</x:t>
  </x:si>
  <x:si>
    <x:t xml:space="preserve">Supabase auth.users</x:t>
  </x:si>
  <x:si>
    <x:t xml:space="preserve">X</x:t>
  </x:si>
  <x:si>
    <x:t xml:space="preserve">Supabase Auth 미사용</x:t>
  </x:si>
  <x:si>
    <x:t xml:space="preserve">자체 users/auth_accounts</x:t>
  </x:si>
  <x:si>
    <x:t xml:space="preserve">AUTH</x:t>
  </x:si>
  <x:si>
    <x:t xml:space="preserve">public FK로 auth.users 참조 금지</x:t>
  </x:si>
  <x:si>
    <x:t xml:space="preserve">비밀번호 원문</x:t>
  </x:si>
  <x:si>
    <x:t xml:space="preserve">보안상 원문 저장 금지</x:t>
  </x:si>
  <x:si>
    <x:t xml:space="preserve">Backend에서 hash 생성·검증</x:t>
  </x:si>
  <x:si>
    <x:t xml:space="preserve">AUTH/MY</x:t>
  </x:si>
  <x:si>
    <x:t xml:space="preserve">password_hash만 저장</x:t>
  </x:si>
  <x:si>
    <x:t xml:space="preserve">비밀번호 확인값</x:t>
  </x:si>
  <x:si>
    <x:t xml:space="preserve">입력 일치 검증용</x:t>
  </x:si>
  <x:si>
    <x:t xml:space="preserve">Frontend+Backend validation</x:t>
  </x:si>
  <x:si>
    <x:t xml:space="preserve">AUTH-003/006</x:t>
  </x:si>
  <x:si>
    <x:t xml:space="preserve">이메일 인증코드 원문</x:t>
  </x:si>
  <x:si>
    <x:t xml:space="preserve">유출 시 인증 우회 위험</x:t>
  </x:si>
  <x:si>
    <x:t xml:space="preserve">code_hash만 저장</x:t>
  </x:si>
  <x:si>
    <x:t xml:space="preserve">AUTH-004/006</x:t>
  </x:si>
  <x:si>
    <x:t xml:space="preserve">Access/Refresh Token 원문</x:t>
  </x:si>
  <x:si>
    <x:t xml:space="preserve">세션 탈취 위험</x:t>
  </x:si>
  <x:si>
    <x:t xml:space="preserve">클라이언트 보관; 서버는 refresh hash</x:t>
  </x:si>
  <x:si>
    <x:t xml:space="preserve">로그에 출력 금지</x:t>
  </x:si>
  <x:si>
    <x:t xml:space="preserve">지도 타일·지도 자체</x:t>
  </x:si>
  <x:si>
    <x:t xml:space="preserve">Kakao Maps 렌더링 자산</x:t>
  </x:si>
  <x:si>
    <x:t xml:space="preserve">Kakao Maps SDK/API</x:t>
  </x:si>
  <x:si>
    <x:t xml:space="preserve">지도 화면</x:t>
  </x:si>
  <x:si>
    <x:t xml:space="preserve">Kakao POI 전체 원본</x:t>
  </x:si>
  <x:si>
    <x:t xml:space="preserve">외부 검색결과 전체 저장 불필요</x:t>
  </x:si>
  <x:si>
    <x:t xml:space="preserve">Kakao API</x:t>
  </x:si>
  <x:si>
    <x:t xml:space="preserve">HOME/SRCH</x:t>
  </x:si>
  <x:si>
    <x:t xml:space="preserve">선택 장소만 저장</x:t>
  </x:si>
  <x:si>
    <x:t xml:space="preserve">현재 GPS 연속값</x:t>
  </x:si>
  <x:si>
    <x:t xml:space="preserve">기본 X</x:t>
  </x:si>
  <x:si>
    <x:t xml:space="preserve">실시간 Runtime 값</x:t>
  </x:si>
  <x:si>
    <x:t xml:space="preserve">Device Geolocation</x:t>
  </x:si>
  <x:si>
    <x:t xml:space="preserve">HOME/NAVI</x:t>
  </x:si>
  <x:si>
    <x:t xml:space="preserve">경로요청 시 출발 좌표만 저장</x:t>
  </x:si>
  <x:si>
    <x:t xml:space="preserve">백그라운드 위치 이력</x:t>
  </x:si>
  <x:si>
    <x:t xml:space="preserve">서비스 범위에서 제외</x:t>
  </x:si>
  <x:si>
    <x:t xml:space="preserve">수집하지 않음</x:t>
  </x:si>
  <x:si>
    <x:t xml:space="preserve">전 영역</x:t>
  </x:si>
  <x:si>
    <x:t xml:space="preserve">권한도 요청하지 않음</x:t>
  </x:si>
  <x:si>
    <x:t xml:space="preserve">설문 Progress 1/5~5/5</x:t>
  </x:si>
  <x:si>
    <x:t xml:space="preserve">UI 상태</x:t>
  </x:si>
  <x:si>
    <x:t xml:space="preserve">Frontend state</x:t>
  </x:si>
  <x:si>
    <x:t xml:space="preserve">ONB</x:t>
  </x:si>
  <x:si>
    <x:t xml:space="preserve">설문 파생 가중치 0.2/0.5/1.0</x:t>
  </x:si>
  <x:si>
    <x:t xml:space="preserve">원점수에서 재계산 가능</x:t>
  </x:si>
  <x:si>
    <x:t xml:space="preserve">Backend mapping</x:t>
  </x:si>
  <x:si>
    <x:t xml:space="preserve">ONB/경로엔진</x:t>
  </x:si>
  <x:si>
    <x:t xml:space="preserve">원점수 1~5만 저장</x:t>
  </x:si>
  <x:si>
    <x:t xml:space="preserve">설문 요약 문장</x:t>
  </x:si>
  <x:si>
    <x:t xml:space="preserve">응답에서 파생 가능</x:t>
  </x:si>
  <x:si>
    <x:t xml:space="preserve">Frontend/Backend 템플릿</x:t>
  </x:si>
  <x:si>
    <x:t xml:space="preserve">ONB-003</x:t>
  </x:si>
  <x:si>
    <x:t xml:space="preserve">0~100 안심점수</x:t>
  </x:si>
  <x:si>
    <x:t xml:space="preserve">서비스에서 정의·노출하지 않음</x:t>
  </x:si>
  <x:si>
    <x:t xml:space="preserve">설명형 추천 이유</x:t>
  </x:si>
  <x:si>
    <x:t xml:space="preserve">ROUTE-004</x:t>
  </x:si>
  <x:si>
    <x:t xml:space="preserve">DB 컬럼도 만들지 않음</x:t>
  </x:si>
  <x:si>
    <x:t xml:space="preserve">Loading Spinner/Modal/Toast</x:t>
  </x:si>
  <x:si>
    <x:t xml:space="preserve">전반</x:t>
  </x:si>
  <x:si>
    <x:t xml:space="preserve">10초 이상 지연 여부</x:t>
  </x:si>
  <x:si>
    <x:t xml:space="preserve">started_at과 현재시각에서 파생</x:t>
  </x:si>
  <x:si>
    <x:t xml:space="preserve">Frontend/Backend elapsed</x:t>
  </x:si>
  <x:si>
    <x:t xml:space="preserve">ROUTE-003</x:t>
  </x:si>
  <x:si>
    <x:t xml:space="preserve">duration_ms는 완료 후 저장 가능</x:t>
  </x:si>
  <x:si>
    <x:t xml:space="preserve">검색 Empty 상태</x:t>
  </x:si>
  <x:si>
    <x:t xml:space="preserve">결과 0건에서 파생</x:t>
  </x:si>
  <x:si>
    <x:t xml:space="preserve">SRCH-002</x:t>
  </x:si>
  <x:si>
    <x:t xml:space="preserve">경로 선택 Border</x:t>
  </x:si>
  <x:si>
    <x:t xml:space="preserve">is_selected는 저장</x:t>
  </x:si>
  <x:si>
    <x:t xml:space="preserve">대시보드 KPI·그래프 값</x:t>
  </x:si>
  <x:si>
    <x:t xml:space="preserve">원본 테이블 집계 결과</x:t>
  </x:si>
  <x:si>
    <x:t xml:space="preserve">SQL COUNT/GROUP BY/View</x:t>
  </x:si>
  <x:si>
    <x:t xml:space="preserve">A-DASH</x:t>
  </x:si>
  <x:si>
    <x:t xml:space="preserve">성능 시 materialized view 후속</x:t>
  </x:si>
  <x:si>
    <x:t xml:space="preserve">동일입력 요청 횟수</x:t>
  </x:si>
  <x:si>
    <x:t xml:space="preserve">fingerprint별 COUNT 결과</x:t>
  </x:si>
  <x:si>
    <x:t xml:space="preserve">SQL 집계</x:t>
  </x:si>
  <x:si>
    <x:t xml:space="preserve">각 요청 row는 저장</x:t>
  </x:si>
  <x:si>
    <x:t xml:space="preserve">내비 남은시간·거리·현재 회전</x:t>
  </x:si>
  <x:si>
    <x:t xml:space="preserve">실시간 진행 상태</x:t>
  </x:si>
  <x:si>
    <x:t xml:space="preserve">Runtime 계산</x:t>
  </x:si>
  <x:si>
    <x:t xml:space="preserve">운행 이력은 MVP 제외</x:t>
  </x:si>
  <x:si>
    <x:t xml:space="preserve">도로 신고 데이터</x:t>
  </x:si>
  <x:si>
    <x:t xml:space="preserve">최종 서비스 범위에서 제외</x:t>
  </x:si>
  <x:si>
    <x:t xml:space="preserve">수집·저장·관리하지 않음</x:t>
  </x:si>
  <x:si>
    <x:t xml:space="preserve">사용자/관리자</x:t>
  </x:si>
  <x:si>
    <x:t xml:space="preserve">road_reports 계열 테이블 금지</x:t>
  </x:si>
</x:sst>
</file>

<file path=xl/styles.xml><?xml version="1.0" encoding="utf-8"?>
<x:styleSheet xmlns:x="http://schemas.openxmlformats.org/spreadsheetml/2006/main">
  <x:numFmts count="1">
    <x:numFmt numFmtId="176" formatCode="0.0"/>
  </x:numFmts>
  <x:fonts count="17">
    <x:font>
      <x:sz val="11"/>
      <x:name val="Carlito"/>
    </x:font>
    <x:font>
      <x:b/>
      <x:sz val="18"/>
      <x:color rgb="FFFFFFFF"/>
      <x:name val="Arial"/>
    </x:font>
    <x:font>
      <x:sz val="10"/>
      <x:color rgb="FF123F46"/>
      <x:name val="Arial"/>
    </x:font>
    <x:font>
      <x:b/>
      <x:sz val="11"/>
      <x:color rgb="FFFFFFFF"/>
      <x:name val="Arial"/>
    </x:font>
    <x:font>
      <x:b/>
      <x:sz val="9"/>
      <x:color rgb="FF123F46"/>
      <x:name val="Arial"/>
    </x:font>
    <x:font>
      <x:sz val="9"/>
      <x:color rgb="FF163133"/>
      <x:name val="Arial"/>
    </x:font>
    <x:font>
      <x:b/>
      <x:sz val="11"/>
      <x:color rgb="FF07817C"/>
      <x:name val="Arial"/>
    </x:font>
    <x:font>
      <x:b/>
      <x:sz val="9"/>
      <x:color rgb="FFFFFFFF"/>
      <x:name val="Arial"/>
    </x:font>
    <x:font>
      <x:b/>
      <x:sz val="10"/>
      <x:color rgb="FF123F46"/>
      <x:name val="Arial"/>
    </x:font>
    <x:font>
      <x:sz val="11"/>
      <x:name val="Carlito"/>
    </x:font>
    <x:font>
      <x:sz val="8"/>
      <x:name val="돋움"/>
    </x:font>
    <x:font>
      <x:sz val="9"/>
      <x:color rgb="FF163133"/>
      <x:name val="돋움"/>
    </x:font>
    <x:font>
      <x:b/>
      <x:sz val="15"/>
      <x:color rgb="FFFFFFFF"/>
      <x:name val="Arial"/>
    </x:font>
    <x:font>
      <x:b/>
      <x:sz val="15"/>
      <x:color rgb="FFFFFFFF"/>
      <x:name val="Carlito"/>
    </x:font>
    <x:font>
      <x:sz val="10"/>
      <x:color rgb="FF172B2D"/>
      <x:name val="Arial"/>
    </x:font>
    <x:font>
      <x:sz val="11"/>
      <x:color rgb="FF172B2D"/>
      <x:name val="Carlito"/>
    </x:font>
    <x:font>
      <x:b/>
      <x:sz val="11"/>
      <x:color rgb="FFFFFFFF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23F46"/>
      </x:patternFill>
    </x:fill>
    <x:fill>
      <x:patternFill patternType="solid">
        <x:fgColor rgb="FFD9F3F0"/>
      </x:patternFill>
    </x:fill>
    <x:fill>
      <x:patternFill patternType="solid">
        <x:fgColor rgb="FF07817C"/>
      </x:patternFill>
    </x:fill>
    <x:fill>
      <x:patternFill patternType="solid">
        <x:fgColor rgb="FFFFFFFF"/>
      </x:patternFill>
    </x:fill>
    <x:fill>
      <x:patternFill patternType="solid">
        <x:fgColor rgb="FFFFF4D6"/>
      </x:patternFill>
    </x:fill>
    <x:fill>
      <x:patternFill patternType="solid">
        <x:fgColor rgb="FFF3F8F7"/>
      </x:patternFill>
    </x:fill>
    <x:fill>
      <x:patternFill patternType="solid">
        <x:fgColor rgb="FFFCE3E3"/>
      </x:patternFill>
    </x:fill>
    <x:fill>
      <x:patternFill patternType="solid">
        <x:fgColor rgb="FFFFD166"/>
      </x:patternFill>
    </x:fill>
    <x:fill>
      <x:patternFill patternType="solid">
        <x:fgColor theme="2" tint="-0.24998"/>
      </x:patternFill>
    </x:fill>
    <x:fill>
      <x:patternFill patternType="solid">
        <x:fgColor theme="0"/>
      </x:patternFill>
    </x:fill>
    <x:fill>
      <x:patternFill patternType="solid">
        <x:fgColor rgb="FF164E63"/>
      </x:patternFill>
    </x:fill>
    <x:fill>
      <x:patternFill patternType="solid">
        <x:fgColor rgb="FFDFF6F4"/>
      </x:patternFill>
    </x:fill>
    <x:fill>
      <x:patternFill patternType="solid">
        <x:fgColor rgb="FF007F78"/>
      </x:patternFill>
    </x:fill>
  </x:fills>
  <x:borders count="27">
    <x:border/>
    <x:border>
      <x:left style="thin">
        <x:color rgb="FFC8DCDA"/>
      </x:left>
      <x:right style="thin">
        <x:color rgb="FFC8DCDA"/>
      </x:right>
      <x:top style="thin">
        <x:color rgb="FFC8DCDA"/>
      </x:top>
      <x:bottom style="thin">
        <x:color rgb="FFC8DCDA"/>
      </x:bottom>
    </x:border>
    <x:border>
      <x:left style="thin">
        <x:color rgb="FFFFD166"/>
      </x:left>
      <x:right style="thin">
        <x:color rgb="FFFFD166"/>
      </x:right>
      <x:top style="thin">
        <x:color rgb="FFFFD166"/>
      </x:top>
      <x:bottom style="thin">
        <x:color rgb="FFFFD166"/>
      </x:bottom>
    </x:border>
    <x:border/>
    <x:border>
      <x:left style="thin">
        <x:color rgb="FFC8DCDA"/>
      </x:left>
      <x:right style="thin">
        <x:color rgb="FFC8DCDA"/>
      </x:right>
      <x:top style="thin">
        <x:color rgb="FFC8DCDA"/>
      </x:top>
      <x:bottom style="thin">
        <x:color rgb="FFC8DCDA"/>
      </x:bottom>
    </x:border>
    <x:border>
      <x:left style="thin">
        <x:color rgb="FFFFD166"/>
      </x:left>
      <x:right style="thin">
        <x:color rgb="FFFFD166"/>
      </x:right>
      <x:top style="thin">
        <x:color rgb="FFFFD166"/>
      </x:top>
      <x:bottom style="thin">
        <x:color rgb="FFFFD166"/>
      </x:bottom>
    </x:border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2">
    <x:xf numFmtId="0" fontId="0" fillId="0" borderId="0"/>
    <x:xf numFmtId="0" fontId="9" fillId="0" borderId="0"/>
  </x:cellStyleXfs>
  <x:cellXfs count="148">
    <x:xf numFmtId="0" fontId="0" fillId="0" borderId="0" xfId="0"/>
    <x:xf numFmtId="0" fontId="4" fillId="3" borderId="1" xfId="1" applyNumberFormat="1" applyFont="1" applyFill="1" applyBorder="1" applyAlignment="1">
      <x:alignment vertical="top" wrapText="1"/>
    </x:xf>
    <x:xf numFmtId="0" fontId="5" fillId="5" borderId="1" xfId="1" applyNumberFormat="1" applyFont="1" applyFill="1" applyBorder="1" applyAlignment="1">
      <x:alignment vertical="top" wrapText="1"/>
    </x:xf>
    <x:xf numFmtId="0" fontId="4" fillId="7" borderId="1" xfId="1" applyNumberFormat="1" applyFont="1" applyFill="1" applyBorder="1" applyAlignment="1">
      <x:alignment wrapText="1"/>
    </x:xf>
    <x:xf numFmtId="1" fontId="6" fillId="5" borderId="1" xfId="1" applyNumberFormat="1" applyFont="1" applyFill="1" applyBorder="1" applyAlignment="1">
      <x:alignment horizontal="center"/>
    </x:xf>
    <x:xf numFmtId="0" fontId="5" fillId="5" borderId="1" xfId="1" applyNumberFormat="1" applyFont="1" applyFill="1" applyBorder="1" applyAlignment="1">
      <x:alignment horizontal="center" vertical="center" wrapText="1"/>
    </x:xf>
    <x:xf numFmtId="0" fontId="7" fillId="4" borderId="1" xfId="1" applyNumberFormat="1" applyFont="1" applyFill="1" applyBorder="1" applyAlignment="1">
      <x:alignment horizontal="center" vertical="center" wrapText="1"/>
    </x:xf>
    <x:xf numFmtId="0" fontId="5" fillId="3" borderId="1" xfId="1" applyNumberFormat="1" applyFont="1" applyFill="1" applyBorder="1" applyAlignment="1">
      <x:alignment vertical="top" wrapText="1"/>
    </x:xf>
    <x:xf numFmtId="0" fontId="5" fillId="8" borderId="1" xfId="1" applyNumberFormat="1" applyFont="1" applyFill="1" applyBorder="1" applyAlignment="1">
      <x:alignment vertical="top" wrapText="1"/>
    </x:xf>
    <x:xf numFmtId="0" fontId="5" fillId="6" borderId="1" xfId="1" applyNumberFormat="1" applyFont="1" applyFill="1" applyBorder="1" applyAlignment="1">
      <x:alignment vertical="top" wrapText="1"/>
    </x:xf>
    <x:xf numFmtId="0" fontId="4" fillId="6" borderId="1" xfId="1" applyNumberFormat="1" applyFont="1" applyFill="1" applyBorder="1" applyAlignment="1">
      <x:alignment vertical="top" wrapText="1"/>
    </x:xf>
    <x:xf numFmtId="0" fontId="5" fillId="3" borderId="1" xfId="1" applyNumberFormat="1" applyFont="1" applyFill="1" applyBorder="1" applyAlignment="1">
      <x:alignment horizontal="center" vertical="top" wrapText="1"/>
    </x:xf>
    <x:xf numFmtId="0" fontId="5" fillId="5" borderId="1" xfId="1" applyNumberFormat="1" applyFont="1" applyFill="1" applyBorder="1" applyAlignment="1">
      <x:alignment horizontal="center" vertical="top" wrapText="1"/>
    </x:xf>
    <x:xf numFmtId="0" fontId="5" fillId="6" borderId="1" xfId="1" applyNumberFormat="1" applyFont="1" applyFill="1" applyBorder="1" applyAlignment="1">
      <x:alignment horizontal="center" vertical="top" wrapText="1"/>
    </x:xf>
    <x:xf numFmtId="0" fontId="5" fillId="5" borderId="1" xfId="1" applyNumberFormat="1" applyFont="1" applyFill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176" fontId="8" fillId="9" borderId="1" xfId="1" applyNumberFormat="1" applyFont="1" applyFill="1" applyBorder="1" applyAlignment="1">
      <x:alignment vertical="top" wrapText="1"/>
    </x:xf>
    <x:xf numFmtId="0" fontId="1" fillId="2" borderId="0" xfId="1" applyNumberFormat="1" applyFont="1" applyFill="1" applyBorder="1" applyAlignment="1">
      <x:alignment vertical="center"/>
    </x:xf>
    <x:xf numFmtId="0" fontId="2" fillId="3" borderId="0" xfId="1" applyNumberFormat="1" applyFont="1" applyFill="1" applyBorder="1" applyAlignment="1">
      <x:alignment vertical="center" wrapText="1"/>
    </x:xf>
    <x:xf numFmtId="0" fontId="3" fillId="4" borderId="0" xfId="1" applyNumberFormat="1" applyFont="1" applyFill="1" applyBorder="1" applyAlignment="1">
      <x:alignment vertical="center"/>
    </x:xf>
    <x:xf numFmtId="0" fontId="4" fillId="6" borderId="2" xfId="1" applyNumberFormat="1" applyFont="1" applyFill="1" applyBorder="1" applyAlignment="1">
      <x:alignment wrapText="1"/>
    </x:xf>
    <x:xf numFmtId="0" fontId="2" fillId="3" borderId="1" xfId="1" applyNumberFormat="1" applyFont="1" applyFill="1" applyBorder="1" applyAlignment="1">
      <x:alignment vertical="center" wrapText="1"/>
    </x:xf>
    <x:xf numFmtId="0" fontId="5" fillId="5" borderId="1" xfId="1" applyNumberFormat="1" applyFont="1" applyFill="1" applyBorder="1" applyAlignment="1">
      <x:alignment horizontal="center" vertical="top" wrapText="1"/>
    </x:xf>
    <x:xf numFmtId="0" fontId="5" fillId="10" borderId="1" xfId="1" applyNumberFormat="1" applyFont="1" applyFill="1" applyBorder="1" applyAlignment="1">
      <x:alignment vertical="top" wrapText="1"/>
    </x:xf>
    <x:xf numFmtId="0" fontId="5" fillId="10" borderId="1" xfId="1" applyNumberFormat="1" applyFont="1" applyFill="1" applyBorder="1" applyAlignment="1">
      <x:alignment horizontal="center" vertical="top" wrapText="1"/>
    </x:xf>
    <x:xf numFmtId="0" fontId="0" fillId="10" borderId="0" xfId="0" applyFill="1"/>
    <x:xf numFmtId="0" fontId="5" fillId="11" borderId="1" xfId="1" applyNumberFormat="1" applyFont="1" applyFill="1" applyBorder="1" applyAlignment="1">
      <x:alignment vertical="top" wrapText="1"/>
    </x:xf>
    <x:xf numFmtId="0" fontId="5" fillId="11" borderId="1" xfId="1" applyNumberFormat="1" applyFont="1" applyFill="1" applyBorder="1" applyAlignment="1">
      <x:alignment horizontal="center" vertical="top" wrapText="1"/>
    </x:xf>
    <x:xf numFmtId="0" fontId="0" fillId="11" borderId="0" xfId="0" applyFill="1"/>
    <x:xf numFmtId="0" fontId="0" fillId="0" borderId="3" xfId="0" applyNumberFormat="1" applyFont="1" applyFill="1" applyBorder="1"/>
    <x:xf numFmtId="0" fontId="4" fillId="3" borderId="4" xfId="0" applyNumberFormat="1" applyFont="1" applyFill="1" applyBorder="1" applyAlignment="1">
      <x:alignment vertical="top" wrapText="1"/>
    </x:xf>
    <x:xf numFmtId="0" fontId="5" fillId="5" borderId="4" xfId="0" applyNumberFormat="1" applyFont="1" applyFill="1" applyBorder="1" applyAlignment="1">
      <x:alignment vertical="top" wrapText="1"/>
    </x:xf>
    <x:xf numFmtId="0" fontId="4" fillId="7" borderId="4" xfId="0" applyNumberFormat="1" applyFont="1" applyFill="1" applyBorder="1" applyAlignment="1">
      <x:alignment wrapText="1"/>
    </x:xf>
    <x:xf numFmtId="1" fontId="6" fillId="5" borderId="4" xfId="0" applyNumberFormat="1" applyFont="1" applyFill="1" applyBorder="1" applyAlignment="1">
      <x:alignment horizontal="center"/>
    </x:xf>
    <x:xf numFmtId="0" fontId="5" fillId="5" borderId="4" xfId="0" applyNumberFormat="1" applyFont="1" applyFill="1" applyBorder="1" applyAlignment="1">
      <x:alignment horizontal="center" vertical="center" wrapText="1"/>
    </x:xf>
    <x:xf numFmtId="0" fontId="7" fillId="4" borderId="4" xfId="0" applyNumberFormat="1" applyFont="1" applyFill="1" applyBorder="1" applyAlignment="1">
      <x:alignment horizontal="center" vertical="center" wrapText="1"/>
    </x:xf>
    <x:xf numFmtId="0" fontId="5" fillId="3" borderId="4" xfId="0" applyNumberFormat="1" applyFont="1" applyFill="1" applyBorder="1" applyAlignment="1">
      <x:alignment vertical="top" wrapText="1"/>
    </x:xf>
    <x:xf numFmtId="0" fontId="5" fillId="8" borderId="4" xfId="0" applyNumberFormat="1" applyFont="1" applyFill="1" applyBorder="1" applyAlignment="1">
      <x:alignment vertical="top" wrapText="1"/>
    </x:xf>
    <x:xf numFmtId="0" fontId="5" fillId="6" borderId="4" xfId="0" applyNumberFormat="1" applyFont="1" applyFill="1" applyBorder="1" applyAlignment="1">
      <x:alignment vertical="top" wrapText="1"/>
    </x:xf>
    <x:xf numFmtId="0" fontId="4" fillId="6" borderId="4" xfId="0" applyNumberFormat="1" applyFont="1" applyFill="1" applyBorder="1" applyAlignment="1">
      <x:alignment vertical="top" wrapText="1"/>
    </x:xf>
    <x:xf numFmtId="0" fontId="5" fillId="3" borderId="4" xfId="0" applyNumberFormat="1" applyFont="1" applyFill="1" applyBorder="1" applyAlignment="1">
      <x:alignment horizontal="center" vertical="top" wrapText="1"/>
    </x:xf>
    <x:xf numFmtId="0" fontId="5" fillId="5" borderId="4" xfId="0" applyNumberFormat="1" applyFont="1" applyFill="1" applyBorder="1" applyAlignment="1">
      <x:alignment horizontal="center" vertical="top" wrapText="1"/>
    </x:xf>
    <x:xf numFmtId="0" fontId="5" fillId="6" borderId="4" xfId="0" applyNumberFormat="1" applyFont="1" applyFill="1" applyBorder="1" applyAlignment="1">
      <x:alignment horizontal="center" vertical="top" wrapText="1"/>
    </x:xf>
    <x:xf numFmtId="0" fontId="5" fillId="5" borderId="4" xfId="0" applyNumberFormat="1" applyFont="1" applyFill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176" fontId="8" fillId="9" borderId="4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/>
    </x:xf>
    <x:xf numFmtId="0" fontId="4" fillId="6" borderId="5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vertical="center" wrapText="1"/>
    </x:xf>
    <x:xf numFmtId="0" fontId="5" fillId="10" borderId="4" xfId="0" applyNumberFormat="1" applyFont="1" applyFill="1" applyBorder="1" applyAlignment="1">
      <x:alignment vertical="top" wrapText="1"/>
    </x:xf>
    <x:xf numFmtId="0" fontId="5" fillId="10" borderId="4" xfId="0" applyNumberFormat="1" applyFont="1" applyFill="1" applyBorder="1" applyAlignment="1">
      <x:alignment horizontal="center" vertical="top" wrapText="1"/>
    </x:xf>
    <x:xf numFmtId="0" fontId="0" fillId="10" borderId="3" xfId="0" applyNumberFormat="1" applyFont="1" applyFill="1" applyBorder="1"/>
    <x:xf numFmtId="0" fontId="5" fillId="11" borderId="4" xfId="0" applyNumberFormat="1" applyFont="1" applyFill="1" applyBorder="1" applyAlignment="1">
      <x:alignment vertical="top" wrapText="1"/>
    </x:xf>
    <x:xf numFmtId="0" fontId="5" fillId="11" borderId="4" xfId="0" applyNumberFormat="1" applyFont="1" applyFill="1" applyBorder="1" applyAlignment="1">
      <x:alignment horizontal="center" vertical="top" wrapText="1"/>
    </x:xf>
    <x:xf numFmtId="0" fontId="0" fillId="11" borderId="3" xfId="0" applyNumberFormat="1" applyFont="1" applyFill="1" applyBorder="1"/>
    <x:xf numFmtId="0" fontId="1" fillId="12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12" fillId="12" borderId="0" xfId="0" applyNumberFormat="1" applyFont="1" applyFill="1" applyBorder="1" applyAlignment="1">
      <x:alignment vertical="center"/>
    </x:xf>
    <x:xf numFmtId="0" fontId="13" fillId="12" borderId="0" xfId="0" applyNumberFormat="1" applyFont="1" applyFill="1" applyBorder="1"/>
    <x:xf numFmtId="0" fontId="13" fillId="12" borderId="0" xfId="0" applyNumberFormat="1" applyFont="1" applyFill="1" applyBorder="1" applyAlignment="1">
      <x:alignment vertical="center"/>
    </x:xf>
    <x:xf numFmtId="0" fontId="1" fillId="12" borderId="3" xfId="0" applyNumberFormat="1" applyFont="1" applyFill="1" applyBorder="1" applyAlignment="1">
      <x:alignment vertical="center"/>
    </x:xf>
    <x:xf numFmtId="0" fontId="0" fillId="12" borderId="3" xfId="0" applyNumberFormat="1" applyFont="1" applyFill="1" applyBorder="1"/>
    <x:xf numFmtId="0" fontId="12" fillId="12" borderId="3" xfId="0" applyNumberFormat="1" applyFont="1" applyFill="1" applyBorder="1" applyAlignment="1">
      <x:alignment vertical="center"/>
    </x:xf>
    <x:xf numFmtId="0" fontId="13" fillId="12" borderId="3" xfId="0" applyNumberFormat="1" applyFont="1" applyFill="1" applyBorder="1"/>
    <x:xf numFmtId="0" fontId="13" fillId="12" borderId="3" xfId="0" applyNumberFormat="1" applyFont="1" applyFill="1" applyBorder="1" applyAlignment="1">
      <x:alignment vertical="center"/>
    </x:xf>
    <x:xf numFmtId="0" fontId="2" fillId="13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14" fillId="13" borderId="0" xfId="0" applyNumberFormat="1" applyFont="1" applyFill="1" applyBorder="1" applyAlignment="1">
      <x:alignment vertical="center" wrapText="1"/>
    </x:xf>
    <x:xf numFmtId="0" fontId="15" fillId="13" borderId="0" xfId="0" applyNumberFormat="1" applyFont="1" applyFill="1" applyBorder="1"/>
    <x:xf numFmtId="0" fontId="15" fillId="13" borderId="0" xfId="0" applyNumberFormat="1" applyFont="1" applyFill="1" applyBorder="1" applyAlignment="1">
      <x:alignment vertical="center"/>
    </x:xf>
    <x:xf numFmtId="0" fontId="2" fillId="13" borderId="3" xfId="0" applyNumberFormat="1" applyFont="1" applyFill="1" applyBorder="1" applyAlignment="1">
      <x:alignment vertical="center" wrapText="1"/>
    </x:xf>
    <x:xf numFmtId="0" fontId="0" fillId="13" borderId="3" xfId="0" applyNumberFormat="1" applyFont="1" applyFill="1" applyBorder="1"/>
    <x:xf numFmtId="0" fontId="14" fillId="13" borderId="3" xfId="0" applyNumberFormat="1" applyFont="1" applyFill="1" applyBorder="1" applyAlignment="1">
      <x:alignment vertical="center" wrapText="1"/>
    </x:xf>
    <x:xf numFmtId="0" fontId="15" fillId="13" borderId="3" xfId="0" applyNumberFormat="1" applyFont="1" applyFill="1" applyBorder="1"/>
    <x:xf numFmtId="0" fontId="15" fillId="13" borderId="3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/>
    <x:xf numFmtId="0" fontId="16" fillId="14" borderId="0" xfId="0" applyNumberFormat="1" applyFont="1" applyFill="1" applyBorder="1"/>
    <x:xf numFmtId="0" fontId="16" fillId="14" borderId="0" xfId="0" applyNumberFormat="1" applyFont="1" applyFill="1" applyBorder="1" applyAlignment="1">
      <x:alignment wrapText="1"/>
    </x:xf>
    <x:xf numFmtId="0" fontId="16" fillId="14" borderId="0" xfId="0" applyNumberFormat="1" applyFont="1" applyFill="1" applyBorder="1" applyAlignment="1">
      <x:alignment horizontal="center" wrapText="1"/>
    </x:xf>
    <x:xf numFmtId="0" fontId="16" fillId="14" borderId="0" xfId="0" applyNumberFormat="1" applyFont="1" applyFill="1" applyBorder="1" applyAlignment="1">
      <x:alignment horizontal="center" vertical="center" wrapText="1"/>
    </x:xf>
    <x:xf numFmtId="0" fontId="0" fillId="14" borderId="3" xfId="0" applyNumberFormat="1" applyFont="1" applyFill="1" applyBorder="1"/>
    <x:xf numFmtId="0" fontId="16" fillId="14" borderId="3" xfId="0" applyNumberFormat="1" applyFont="1" applyFill="1" applyBorder="1"/>
    <x:xf numFmtId="0" fontId="16" fillId="14" borderId="3" xfId="0" applyNumberFormat="1" applyFont="1" applyFill="1" applyBorder="1" applyAlignment="1">
      <x:alignment wrapText="1"/>
    </x:xf>
    <x:xf numFmtId="0" fontId="16" fillId="14" borderId="3" xfId="0" applyNumberFormat="1" applyFont="1" applyFill="1" applyBorder="1" applyAlignment="1">
      <x:alignment horizontal="center" wrapText="1"/>
    </x:xf>
    <x:xf numFmtId="0" fontId="16" fillId="14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3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vertical="center"/>
    </x:xf>
    <x:xf numFmtId="0" fontId="7" fillId="4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5" fillId="10" borderId="1" xfId="0" applyNumberFormat="1" applyFont="1" applyFill="1" applyBorder="1" applyAlignment="1">
      <x:alignment vertical="center" wrapText="1"/>
    </x:xf>
    <x:xf numFmtId="0" fontId="5" fillId="10" borderId="1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11" borderId="1" xfId="0" applyNumberFormat="1" applyFont="1" applyFill="1" applyBorder="1" applyAlignment="1">
      <x:alignment vertical="center" wrapText="1"/>
    </x:xf>
    <x:xf numFmtId="0" fontId="5" fillId="11" borderId="1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5" fillId="5" borderId="4" xfId="0" applyNumberFormat="1" applyFont="1" applyFill="1" applyBorder="1" applyAlignment="1">
      <x:alignment vertical="center" wrapText="1"/>
    </x:xf>
    <x:xf numFmtId="0" fontId="5" fillId="10" borderId="4" xfId="0" applyNumberFormat="1" applyFont="1" applyFill="1" applyBorder="1" applyAlignment="1">
      <x:alignment vertical="center" wrapText="1"/>
    </x:xf>
    <x:xf numFmtId="0" fontId="5" fillId="10" borderId="4" xfId="0" applyNumberFormat="1" applyFont="1" applyFill="1" applyBorder="1" applyAlignment="1">
      <x:alignment horizontal="center" vertical="center" wrapText="1"/>
    </x:xf>
    <x:xf numFmtId="0" fontId="5" fillId="5" borderId="4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11" borderId="4" xfId="0" applyNumberFormat="1" applyFont="1" applyFill="1" applyBorder="1" applyAlignment="1">
      <x:alignment vertical="center" wrapText="1"/>
    </x:xf>
    <x:xf numFmtId="0" fontId="5" fillId="11" borderId="4" xfId="0" applyNumberFormat="1" applyFont="1" applyFill="1" applyBorder="1" applyAlignment="1">
      <x:alignment horizontal="center" vertical="center" wrapText="1"/>
    </x:xf>
    <x:xf numFmtId="0" fontId="4" fillId="6" borderId="4" xfId="0" applyNumberFormat="1" applyFont="1" applyFill="1" applyBorder="1" applyAlignment="1">
      <x:alignment vertical="center" wrapText="1"/>
    </x:xf>
    <x:xf numFmtId="0" fontId="5" fillId="6" borderId="4" xfId="0" applyNumberFormat="1" applyFont="1" applyFill="1" applyBorder="1" applyAlignment="1">
      <x:alignment vertical="center" wrapText="1"/>
    </x:xf>
    <x:xf numFmtId="0" fontId="5" fillId="6" borderId="4" xfId="0" applyNumberFormat="1" applyFont="1" applyFill="1" applyBorder="1" applyAlignment="1">
      <x:alignment horizontal="center" vertical="center" wrapText="1"/>
    </x:xf>
    <x:xf numFmtId="0" fontId="13" fillId="12" borderId="0" xfId="0" applyNumberFormat="1" applyFont="1" applyFill="1" applyBorder="1" applyAlignment="1">
      <x:alignment vertical="center" wrapText="1"/>
    </x:xf>
    <x:xf numFmtId="0" fontId="15" fillId="13" borderId="0" xfId="0" applyNumberFormat="1" applyFont="1" applyFill="1" applyBorder="1" applyAlignment="1">
      <x:alignment vertical="center" wrapText="1"/>
    </x:xf>
    <x:xf numFmtId="0" fontId="13" fillId="12" borderId="3" xfId="0" applyNumberFormat="1" applyFont="1" applyFill="1" applyBorder="1" applyAlignment="1">
      <x:alignment vertical="center" wrapText="1"/>
    </x:xf>
    <x:xf numFmtId="0" fontId="15" fillId="13" borderId="3" xfId="0" applyNumberFormat="1" applyFont="1" applyFill="1" applyBorder="1" applyAlignment="1">
      <x:alignment vertical="center" wrapText="1"/>
    </x:xf>
    <x:xf numFmtId="0" fontId="16" fillId="14" borderId="6" xfId="0" applyNumberFormat="1" applyFont="1" applyFill="1" applyBorder="1" applyAlignment="1">
      <x:alignment horizontal="center" vertical="center" wrapText="1"/>
    </x:xf>
    <x:xf numFmtId="0" fontId="16" fillId="14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16" fillId="14" borderId="12" xfId="0" applyNumberFormat="1" applyFont="1" applyFill="1" applyBorder="1" applyAlignment="1">
      <x:alignment horizontal="center" vertical="center" wrapText="1"/>
    </x:xf>
    <x:xf numFmtId="0" fontId="16" fillId="14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16" fillId="14" borderId="18" xfId="0" applyNumberFormat="1" applyFont="1" applyFill="1" applyBorder="1" applyAlignment="1">
      <x:alignment horizontal="center"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16" fillId="14" borderId="21" xfId="0" applyNumberFormat="1" applyFont="1" applyFill="1" applyBorder="1" applyAlignment="1">
      <x:alignment horizontal="center"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horizontal="center"/>
    </x:xf>
    <x:xf numFmtId="0" fontId="0" fillId="0" borderId="24" xfId="0" applyNumberFormat="1" applyFont="1" applyFill="1" applyBorder="1" applyAlignment="1">
      <x:alignment vertical="center" wrapText="1"/>
    </x:xf>
    <x:xf numFmtId="0" fontId="0" fillId="0" borderId="25" xfId="0" applyNumberFormat="1" applyFont="1" applyFill="1" applyBorder="1" applyAlignment="1">
      <x:alignment vertical="center" wrapText="1"/>
    </x:xf>
    <x:xf numFmtId="0" fontId="0" fillId="0" borderId="26" xfId="0" applyNumberFormat="1" applyFont="1" applyFill="1" applyBorder="1" applyAlignment="1">
      <x:alignment vertical="center" wrapText="1"/>
    </x:xf>
  </x:cellXfs>
  <x:cellStyles count="2">
    <x:cellStyle name="Normal" xfId="1"/>
    <x:cellStyle name="표준" xfId="0"/>
  </x:cellStyles>
  <x:dxfs count="13">
    <x:dxf>
      <x:font>
        <x:b/>
        <x:color rgb="FFD94A4A"/>
      </x:font>
      <x:fill>
        <x:patternFill>
          <x:bgColor rgb="FFFDECEC"/>
        </x:patternFill>
      </x:fill>
    </x:dxf>
    <x:dxf>
      <x:font>
        <x:b/>
        <x:color rgb="FF7A4A00"/>
      </x:font>
      <x:fill>
        <x:patternFill>
          <x:bgColor rgb="FFFFF3DD"/>
        </x:patternFill>
      </x:fill>
    </x:dxf>
    <x:dxf>
      <x:font>
        <x:color rgb="FF007F78"/>
      </x:font>
      <x:fill>
        <x:patternFill>
          <x:bgColor rgb="FFEAF7F5"/>
        </x:patternFill>
      </x:fill>
    </x:dxf>
    <x:dxf>
      <x:font>
        <x:color rgb="FF5C6F70"/>
      </x:font>
      <x:fill>
        <x:patternFill>
          <x:bgColor rgb="FFF2F2F2"/>
        </x:patternFill>
      </x:fill>
    </x:dxf>
    <x:dxf>
      <x:font>
        <x:color rgb="FF8A5A00"/>
      </x:font>
      <x:fill>
        <x:patternFill>
          <x:bgColor rgb="FFFFF8E8"/>
        </x:patternFill>
      </x:fill>
    </x:dxf>
    <x:dxf>
      <x:font>
        <x:b/>
        <x:color rgb="FFD94A4A"/>
      </x:font>
      <x:fill>
        <x:patternFill>
          <x:bgColor rgb="FFFDECEC"/>
        </x:patternFill>
      </x:fill>
    </x:dxf>
    <x:dxf>
      <x:font>
        <x:b/>
        <x:color rgb="FF7A4A00"/>
      </x:font>
      <x:fill>
        <x:patternFill>
          <x:bgColor rgb="FFFFF3DD"/>
        </x:patternFill>
      </x:fill>
    </x:dxf>
    <x:dxf>
      <x:font>
        <x:b/>
        <x:color rgb="FF007F78"/>
      </x:font>
      <x:fill>
        <x:patternFill>
          <x:bgColor rgb="FFEAF7F5"/>
        </x:patternFill>
      </x:fill>
    </x:dxf>
    <x:dxf>
      <x:font>
        <x:color rgb="FF8A5A00"/>
      </x:font>
      <x:fill>
        <x:patternFill>
          <x:bgColor rgb="FFFFF8E8"/>
        </x:patternFill>
      </x:fill>
    </x:dxf>
    <x:dxf>
      <x:font>
        <x:b/>
        <x:color rgb="FFD94A4A"/>
      </x:font>
      <x:fill>
        <x:patternFill>
          <x:bgColor rgb="FFFDECEC"/>
        </x:patternFill>
      </x:fill>
    </x:dxf>
    <x:dxf>
      <x:font>
        <x:b/>
        <x:color rgb="FF7A4A00"/>
      </x:font>
      <x:fill>
        <x:patternFill>
          <x:bgColor rgb="FFFFF3DD"/>
        </x:patternFill>
      </x:fill>
    </x:dxf>
    <x:dxf>
      <x:font>
        <x:b/>
        <x:color rgb="FF007F78"/>
      </x:font>
      <x:fill>
        <x:patternFill>
          <x:bgColor rgb="FFEAF7F5"/>
        </x:patternFill>
      </x:fill>
    </x:dxf>
    <x:dxf>
      <x:font>
        <x:color rgb="FF8A5A00"/>
      </x:font>
      <x:fill>
        <x:patternFill>
          <x:bgColor rgb="FFFFF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0a4f0f4500410b" /><Relationship Type="http://schemas.openxmlformats.org/officeDocument/2006/relationships/theme" Target="/xl/theme/theme1.xml" Id="Raef5ab7dd678494c" /><Relationship Type="http://schemas.microsoft.com/office/2022/11/relationships/FeaturePropertyBag" Target="/xl/featurePropertyBag/featurePropertyBag.xml" Id="Rb19c49f7d00643c4" /><Relationship Type="http://schemas.openxmlformats.org/officeDocument/2006/relationships/sharedStrings" Target="/xl/sharedStrings.xml" Id="R3dda3783a0a64926" /><Relationship Type="http://schemas.openxmlformats.org/officeDocument/2006/relationships/worksheet" Target="/xl/worksheets/sheet1.xml" Id="R4fe0dd4e958d4e11" /><Relationship Type="http://schemas.openxmlformats.org/officeDocument/2006/relationships/worksheet" Target="/xl/worksheets/sheet2.xml" Id="R903dc2125fd54617" /><Relationship Type="http://schemas.openxmlformats.org/officeDocument/2006/relationships/worksheet" Target="/xl/worksheets/sheet3.xml" Id="Re83b37c19ca640e4" /><Relationship Type="http://schemas.openxmlformats.org/officeDocument/2006/relationships/worksheet" Target="/xl/worksheets/sheet4.xml" Id="Rf46461358c2b44d9" /><Relationship Type="http://schemas.openxmlformats.org/officeDocument/2006/relationships/worksheet" Target="/xl/worksheets/sheet5.xml" Id="R120e70257f464372" /><Relationship Type="http://schemas.openxmlformats.org/officeDocument/2006/relationships/worksheet" Target="/xl/worksheets/sheet6.xml" Id="R57bdadde089f4fd7" /><Relationship Type="http://schemas.openxmlformats.org/officeDocument/2006/relationships/worksheet" Target="/xl/worksheets/sheet7.xml" Id="R87a38593c0554bd5" /><Relationship Type="http://schemas.openxmlformats.org/officeDocument/2006/relationships/worksheet" Target="/xl/worksheets/sheet8.xml" Id="Rb2fd54fd8ec14e32" /><Relationship Type="http://schemas.openxmlformats.org/officeDocument/2006/relationships/worksheet" Target="/xl/worksheets/sheet9.xml" Id="R5e495c5ceede4468" /><Relationship Type="http://schemas.openxmlformats.org/officeDocument/2006/relationships/worksheet" Target="/xl/worksheets/sheet10.xml" Id="R1645ef53532848a0" /><Relationship Type="http://schemas.openxmlformats.org/officeDocument/2006/relationships/worksheet" Target="/xl/worksheets/sheet11.xml" Id="Rafa504306cbe415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creenMaster" displayName="ScreenMaster" ref="A4:H44" totalsRowShown="0">
  <x:autoFilter ref="A4:H44"/>
  <x:tableColumns count="8">
    <x:tableColumn id="1" name="화면 ID"/>
    <x:tableColumn id="2" name="영역"/>
    <x:tableColumn id="3" name="화면명"/>
    <x:tableColumn id="4" name="상태"/>
    <x:tableColumn id="5" name="구분"/>
    <x:tableColumn id="6" name="핵심 역할"/>
    <x:tableColumn id="7" name="근거"/>
    <x:tableColumn id="8" name="비고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reenDataMapping" displayName="ScreenDataMapping" ref="A4:M44" totalsRowShown="0">
  <x:autoFilter ref="A4:M44"/>
  <x:tableColumns count="13">
    <x:tableColumn id="1" name="화면 ID"/>
    <x:tableColumn id="2" name="영역"/>
    <x:tableColumn id="3" name="화면명"/>
    <x:tableColumn id="4" name="필요한 동적 데이터"/>
    <x:tableColumn id="5" name="사용자 입력"/>
    <x:tableColumn id="6" name="출력/조회 데이터"/>
    <x:tableColumn id="7" name="데이터 출처"/>
    <x:tableColumn id="8" name="DB 저장 필요"/>
    <x:tableColumn id="9" name="후보 Entity"/>
    <x:tableColumn id="10" name="DB 미저장/런타임"/>
    <x:tableColumn id="11" name="주요 검증·제약"/>
    <x:tableColumn id="12" name="근거 유형"/>
    <x:tableColumn id="13" name="최종 기준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Candidates" displayName="TableCandidates" ref="A4:J28" totalsRowShown="0">
  <x:autoFilter ref="A4:J28"/>
  <x:tableColumns count="10">
    <x:tableColumn id="1" name="테이블 후보"/>
    <x:tableColumn id="2" name="영역"/>
    <x:tableColumn id="3" name="분류"/>
    <x:tableColumn id="4" name="필요 이유"/>
    <x:tableColumn id="5" name="주요 관련 화면"/>
    <x:tableColumn id="6" name="합치기/분리 판단"/>
    <x:tableColumn id="7" name="예상 관계"/>
    <x:tableColumn id="8" name="현재 결정"/>
    <x:tableColumn id="9" name="근거 유형"/>
    <x:tableColumn id="10" name="비고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Relations" displayName="TableRelations" ref="A4:I27" totalsRowShown="0">
  <x:autoFilter ref="A4:I27"/>
  <x:tableColumns count="9">
    <x:tableColumn id="1" name="부모/기준 Entity"/>
    <x:tableColumn id="2" name="관계"/>
    <x:tableColumn id="3" name="자식/연결 Entity"/>
    <x:tableColumn id="4" name="관계 의미"/>
    <x:tableColumn id="5" name="필수 여부"/>
    <x:tableColumn id="6" name="예상 FK/연결"/>
    <x:tableColumn id="7" name="화면/기능 근거"/>
    <x:tableColumn id="8" name="결정·제약"/>
    <x:tableColumn id="9" name="비고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olicyDecisions" displayName="PolicyDecisions" ref="A4:J40" totalsRowShown="0">
  <x:autoFilter ref="A4:J40"/>
  <x:tableColumns count="10">
    <x:tableColumn id="1" name="No"/>
    <x:tableColumn id="2" name="상태구분"/>
    <x:tableColumn id="3" name="결정할 내용"/>
    <x:tableColumn id="4" name="DB 설계 영향"/>
    <x:tableColumn id="5" name="권장/확정 방향"/>
    <x:tableColumn id="6" name="관련 테이블"/>
    <x:tableColumn id="7" name="관련 화면"/>
    <x:tableColumn id="8" name="팀 결정"/>
    <x:tableColumn id="9" name="상태"/>
    <x:tableColumn id="10" name="결정일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NonStoredData" displayName="NonStoredData" ref="A4:F25" totalsRowShown="0">
  <x:autoFilter ref="A4:F25"/>
  <x:tableColumns count="6">
    <x:tableColumn id="1" name="데이터/상태"/>
    <x:tableColumn id="2" name="DB Table 필요"/>
    <x:tableColumn id="3" name="이유"/>
    <x:tableColumn id="4" name="대체 위치/처리"/>
    <x:tableColumn id="5" name="관련 화면"/>
    <x:tableColumn id="6" name="비고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verseMapping" displayName="ReverseMapping" ref="A4:K44" totalsRowShown="0">
  <x:autoFilter ref="A4:K44"/>
  <x:tableColumns count="11">
    <x:tableColumn id="1" name="화면 ID"/>
    <x:tableColumn id="2" name="화면명"/>
    <x:tableColumn id="3" name="필요 데이터 요약"/>
    <x:tableColumn id="4" name="예상 Entity"/>
    <x:tableColumn id="5" name="실제 테이블"/>
    <x:tableColumn id="6" name="실제 컬럼/관계"/>
    <x:tableColumn id="7" name="CRUD"/>
    <x:tableColumn id="8" name="검증 상태"/>
    <x:tableColumn id="9" name="누락/이슈"/>
    <x:tableColumn id="10" name="조치사항"/>
    <x:tableColumn id="11" name="검증자/일자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olumnDesign" displayName="ColumnDesign" ref="A4:N214" totalsRowShown="0">
  <x:autoFilter ref="A4:N214"/>
  <x:tableColumns count="14">
    <x:tableColumn id="1" name="Table"/>
    <x:tableColumn id="2" name="Column"/>
    <x:tableColumn id="3" name="설명"/>
    <x:tableColumn id="4" name="PostgreSQL Type"/>
    <x:tableColumn id="5" name="PK"/>
    <x:tableColumn id="6" name="FK"/>
    <x:tableColumn id="7" name="FK 대상"/>
    <x:tableColumn id="8" name="NULL 허용"/>
    <x:tableColumn id="9" name="UNIQUE"/>
    <x:tableColumn id="10" name="Default"/>
    <x:tableColumn id="11" name="CHECK/Validation"/>
    <x:tableColumn id="12" name="인덱스"/>
    <x:tableColumn id="13" name="관련 화면 ID"/>
    <x:tableColumn id="14" name="비고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odeAndWeights" displayName="CodeAndWeights" ref="A4:H46" totalsRowShown="0">
  <x:autoFilter ref="A4:H46"/>
  <x:tableColumns count="8">
    <x:tableColumn id="1" name="구분"/>
    <x:tableColumn id="2" name="대상 필드"/>
    <x:tableColumn id="3" name="코드/원점수"/>
    <x:tableColumn id="4" name="의미"/>
    <x:tableColumn id="5" name="DB/검증 방식"/>
    <x:tableColumn id="6" name="라우팅 가중치"/>
    <x:tableColumn id="7" name="상태"/>
    <x:tableColumn id="8" name="관련 화면/기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bfcab17b6e14a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512a71533e1451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a3f58005c9640d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3cd679c4c9243d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c3275e4d1b64e9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81ce3482946491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2d14405486a459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2d32c01bb79411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6f3268de1b25401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24" customWidth="1"/>
    <x:col min="2" max="2" width="76" customWidth="1"/>
    <x:col min="3" max="3" width="4" customWidth="1"/>
    <x:col min="4" max="4" width="28" customWidth="1"/>
    <x:col min="5" max="5" width="16" customWidth="1"/>
    <x:col min="6" max="8" width="22" customWidth="1"/>
  </x:cols>
  <x:sheetData>
    <x:row r="1" ht="33.95000076293945" customHeight="1">
      <x:c r="A1" s="16" t="s">
        <x:v>0</x:v>
      </x:c>
      <x:c r="B1" s="16"/>
      <x:c r="C1" s="16"/>
      <x:c r="D1" s="16"/>
      <x:c r="E1" s="16"/>
      <x:c r="F1" s="16"/>
      <x:c r="G1" s="16"/>
      <x:c r="H1" s="16"/>
    </x:row>
    <x:row r="2" ht="27.950000762939453" customHeight="1">
      <x:c r="A2" s="17" t="s">
        <x:v>1</x:v>
      </x:c>
      <x:c r="B2" s="17"/>
      <x:c r="C2" s="17"/>
      <x:c r="D2" s="17"/>
      <x:c r="E2" s="17"/>
      <x:c r="F2" s="17"/>
      <x:c r="G2" s="17"/>
      <x:c r="H2" s="17"/>
    </x:row>
    <x:row r="4" ht="15">
      <x:c r="A4" s="18" t="s">
        <x:v>2</x:v>
      </x:c>
      <x:c r="B4" s="18"/>
      <x:c r="D4" s="18" t="s">
        <x:v>3</x:v>
      </x:c>
      <x:c r="E4" s="18"/>
      <x:c r="F4" s="18"/>
      <x:c r="G4" s="18"/>
      <x:c r="H4" s="18"/>
    </x:row>
    <x:row r="5" ht="33.95000076293945" customHeight="1">
      <x:c r="A5" s="1" t="s">
        <x:v>4</x:v>
      </x:c>
      <x:c r="B5" s="2" t="s">
        <x:v>5</x:v>
      </x:c>
      <x:c r="D5" s="3" t="str">
        <x:v>현재 정리 현황</x:v>
      </x:c>
      <x:c r="E5" s="4" t="n">
        <x:f>COUNTA('01_화면ID_마스터'!A5:A200)</x:f>
        <x:v>40</x:v>
      </x:c>
      <x:c r="F5" s="20" t="str">
        <x:v>핵심 변경사항
• 신고 전면 제거
• 관리자 권한·감사 이력 추가
• 성공/실패 경로 로그와 fingerprint 보강
• 5점 원점수/3단계 가중치 분리
• 실제 Navigation·candidate link 반영
• 컬럼 최종검증·코드값 시트 완성
• PostGIS 선활성화 필요</x:v>
      </x:c>
      <x:c r="G5" s="20"/>
      <x:c r="H5" s="20"/>
    </x:row>
    <x:row r="6" ht="33.95000076293945" customHeight="1">
      <x:c r="A6" s="1" t="s">
        <x:v>6</x:v>
      </x:c>
      <x:c r="B6" s="2" t="s">
        <x:v>7</x:v>
      </x:c>
      <x:c r="D6" s="3" t="s">
        <x:v>8</x:v>
      </x:c>
      <x:c r="E6" s="4" t="n">
        <x:f>COUNTA('01_화면ID_마스터'!A5:A200)-COUNTIF('01_화면ID_마스터'!D5:D200,"DEPRECATED")</x:f>
        <x:v>39</x:v>
      </x:c>
      <x:c r="F6" s="20"/>
      <x:c r="G6" s="20"/>
      <x:c r="H6" s="20"/>
    </x:row>
    <x:row r="7" ht="33.95000076293945" customHeight="1">
      <x:c r="A7" s="1" t="s">
        <x:v>9</x:v>
      </x:c>
      <x:c r="B7" s="2" t="s">
        <x:v>10</x:v>
      </x:c>
      <x:c r="D7" s="3" t="s">
        <x:v>11</x:v>
      </x:c>
      <x:c r="E7" s="4" t="n">
        <x:f>COUNTIF('01_화면ID_마스터'!E5:E200,"모바일")-COUNTIF('01_화면ID_마스터'!D5:D200,"DEPRECATED")</x:f>
        <x:v>29</x:v>
      </x:c>
      <x:c r="F7" s="20"/>
      <x:c r="G7" s="20"/>
      <x:c r="H7" s="20"/>
    </x:row>
    <x:row r="8" ht="33.95000076293945" customHeight="1">
      <x:c r="A8" s="1" t="s">
        <x:v>12</x:v>
      </x:c>
      <x:c r="B8" s="2" t="s">
        <x:v>13</x:v>
      </x:c>
      <x:c r="D8" s="3" t="s">
        <x:v>14</x:v>
      </x:c>
      <x:c r="E8" s="4" t="n">
        <x:f>COUNTIF('01_화면ID_마스터'!E5:E200,"관리자")</x:f>
        <x:v>10</x:v>
      </x:c>
      <x:c r="F8" s="20"/>
      <x:c r="G8" s="20"/>
      <x:c r="H8" s="20"/>
    </x:row>
    <x:row r="9" ht="33.95000076293945" customHeight="1">
      <x:c r="A9" s="1" t="s">
        <x:v>15</x:v>
      </x:c>
      <x:c r="B9" s="2" t="s">
        <x:v>16</x:v>
      </x:c>
      <x:c r="D9" s="3" t="s">
        <x:v>17</x:v>
      </x:c>
      <x:c r="E9" s="4" t="n">
        <x:f>COUNTIF('03_테이블후보'!C5:C200,"핵심")</x:f>
        <x:v>21</x:v>
      </x:c>
      <x:c r="F9" s="20"/>
      <x:c r="G9" s="20"/>
      <x:c r="H9" s="20"/>
    </x:row>
    <x:row r="10" ht="33.95000076293945" customHeight="1">
      <x:c r="A10" s="1" t="s">
        <x:v>18</x:v>
      </x:c>
      <x:c r="B10" s="2" t="s">
        <x:v>19</x:v>
      </x:c>
      <x:c r="D10" s="3" t="s">
        <x:v>20</x:v>
      </x:c>
      <x:c r="E10" s="4" t="n">
        <x:f>COUNTIF('03_테이블후보'!C5:C200,"조건부")</x:f>
        <x:v>2</x:v>
      </x:c>
      <x:c r="F10" s="20"/>
      <x:c r="G10" s="20"/>
      <x:c r="H10" s="20"/>
    </x:row>
    <x:row r="11" ht="33.95000076293945" customHeight="1">
      <x:c r="A11" s="1" t="s">
        <x:v>21</x:v>
      </x:c>
      <x:c r="B11" s="2" t="s">
        <x:v>22</x:v>
      </x:c>
      <x:c r="D11" s="3" t="s">
        <x:v>23</x:v>
      </x:c>
      <x:c r="E11" s="4" t="n">
        <x:f>COUNTA('05_정책결정사항'!A5:A200)</x:f>
        <x:v>36</x:v>
      </x:c>
    </x:row>
    <x:row r="12" ht="33.95000076293945" customHeight="1">
      <x:c r="A12" s="1" t="s">
        <x:v>24</x:v>
      </x:c>
      <x:c r="B12" s="2" t="s">
        <x:v>25</x:v>
      </x:c>
      <x:c r="D12" s="3" t="s">
        <x:v>26</x:v>
      </x:c>
      <x:c r="E12" s="4" t="n">
        <x:f>COUNTIF('05_정책결정사항'!I5:I200,"팀 확인")</x:f>
        <x:v>3</x:v>
      </x:c>
    </x:row>
    <x:row r="13" ht="33.95000076293945" customHeight="1">
      <x:c r="A13" s="19" t="s">
        <x:v>27</x:v>
      </x:c>
      <x:c r="B13" s="19"/>
    </x:row>
    <x:row r="14" ht="33.95000076293945" customHeight="1">
      <x:c r="D14" s="18" t="s">
        <x:v>28</x:v>
      </x:c>
      <x:c r="E14" s="18"/>
      <x:c r="F14" s="18"/>
      <x:c r="G14" s="18"/>
      <x:c r="H14" s="18"/>
    </x:row>
    <x:row r="15" ht="33.95000076293945" customHeight="1">
      <x:c r="D15" s="5" t="str">
        <x:v>1. 05 팀 확인</x:v>
      </x:c>
      <x:c r="E15" s="5" t="str">
        <x:v>→</x:v>
      </x:c>
      <x:c r="F15" s="5" t="str">
        <x:v>2. 08 컬럼 최종검증</x:v>
      </x:c>
      <x:c r="G15" s="5" t="str">
        <x:v>→</x:v>
      </x:c>
      <x:c r="H15" s="5" t="str">
        <x:v>3. 10 검증요약 확인</x:v>
      </x:c>
    </x:row>
    <x:row r="16" ht="33.95000076293945" customHeight="1">
      <x:c r="D16" s="5" t="str">
        <x:v>4. PostGIS 활성화</x:v>
      </x:c>
      <x:c r="E16" s="5" t="str">
        <x:v>→</x:v>
      </x:c>
      <x:c r="F16" s="5" t="str">
        <x:v>5. schema.sql 작성·실행</x:v>
      </x:c>
      <x:c r="G16" s="5" t="str">
        <x:v>→</x:v>
      </x:c>
      <x:c r="H16" s="5" t="str">
        <x:v>6. Table Editor 검증</x:v>
      </x:c>
    </x:row>
    <x:row r="17" ht="33.95000076293945" customHeight="1">
      <x:c r="D17" s="5" t="str">
        <x:v>7. Seed/ETL·API 연결</x:v>
      </x:c>
      <x:c r="E17" s="5" t="str">
        <x:v>→</x:v>
      </x:c>
      <x:c r="F17" s="5" t="str">
        <x:v>8. CRUD/공간조회 테스트</x:v>
      </x:c>
      <x:c r="G17" s="5" t="str">
        <x:v>→</x:v>
      </x:c>
      <x:c r="H17" s="5" t="str">
        <x:v>9. 이후 Migration 관리</x:v>
      </x:c>
    </x:row>
  </x:sheetData>
  <x:mergeCells>
    <x:mergeCell ref="A1:H1"/>
    <x:mergeCell ref="A2:H2"/>
    <x:mergeCell ref="A4:B4"/>
    <x:mergeCell ref="D4:H4"/>
    <x:mergeCell ref="D14:H14"/>
    <x:mergeCell ref="A13:B13"/>
    <x:mergeCell ref="F5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20" customWidth="1"/>
    <x:col min="2" max="2" width="18" customWidth="1"/>
    <x:col min="3" max="3" width="34" customWidth="1"/>
    <x:col min="4" max="4" width="15" customWidth="1"/>
    <x:col min="5" max="5" width="14" customWidth="1"/>
    <x:col min="6" max="6" width="46" customWidth="1"/>
    <x:col min="7" max="7" width="30" customWidth="1"/>
    <x:col min="8" max="8" width="38" customWidth="1"/>
  </x:cols>
  <x:sheetData>
    <x:row r="1" ht="33.95000076293945" customHeight="1">
      <x:c r="A1" s="16" t="s">
        <x:v>29</x:v>
      </x:c>
      <x:c r="B1" s="16"/>
      <x:c r="C1" s="16"/>
      <x:c r="D1" s="16"/>
      <x:c r="E1" s="16"/>
      <x:c r="F1" s="16"/>
      <x:c r="G1" s="16"/>
      <x:c r="H1" s="16"/>
    </x:row>
    <x:row r="2" ht="27.950000762939453" customHeight="1">
      <x:c r="A2" s="17" t="s">
        <x:v>30</x:v>
      </x:c>
      <x:c r="B2" s="17"/>
      <x:c r="C2" s="17"/>
      <x:c r="D2" s="17"/>
      <x:c r="E2" s="17"/>
      <x:c r="F2" s="17"/>
      <x:c r="G2" s="17"/>
      <x:c r="H2" s="17"/>
    </x:row>
    <x:row r="4" ht="33.95000076293945" customHeight="1">
      <x:c r="A4" s="6" t="s">
        <x:v>31</x:v>
      </x:c>
      <x:c r="B4" s="6" t="s">
        <x:v>32</x:v>
      </x:c>
      <x:c r="C4" s="6" t="s">
        <x:v>33</x:v>
      </x:c>
      <x:c r="D4" s="6" t="s">
        <x:v>34</x:v>
      </x:c>
      <x:c r="E4" s="6" t="s">
        <x:v>35</x:v>
      </x:c>
      <x:c r="F4" s="6" t="s">
        <x:v>36</x:v>
      </x:c>
      <x:c r="G4" s="6" t="s">
        <x:v>37</x:v>
      </x:c>
      <x:c r="H4" s="6" t="s">
        <x:v>38</x:v>
      </x:c>
    </x:row>
    <x:row r="5" ht="44.099998474121094" customHeight="1">
      <x:c r="A5" s="2" t="s">
        <x:v>39</x:v>
      </x:c>
      <x:c r="B5" s="2" t="s">
        <x:v>40</x:v>
      </x:c>
      <x:c r="C5" s="2" t="s">
        <x:v>41</x:v>
      </x:c>
      <x:c r="D5" s="7" t="s">
        <x:v>42</x:v>
      </x:c>
      <x:c r="E5" s="2" t="s">
        <x:v>43</x:v>
      </x:c>
      <x:c r="F5" s="2" t="s">
        <x:v>44</x:v>
      </x:c>
      <x:c r="G5" s="2" t="s">
        <x:v>45</x:v>
      </x:c>
      <x:c r="H5" s="2" t="s">
        <x:v>46</x:v>
      </x:c>
    </x:row>
    <x:row r="6" ht="44.099998474121094" customHeight="1">
      <x:c r="A6" s="2" t="s">
        <x:v>47</x:v>
      </x:c>
      <x:c r="B6" s="2" t="s">
        <x:v>40</x:v>
      </x:c>
      <x:c r="C6" s="2" t="s">
        <x:v>48</x:v>
      </x:c>
      <x:c r="D6" s="7" t="s">
        <x:v>42</x:v>
      </x:c>
      <x:c r="E6" s="2" t="s">
        <x:v>43</x:v>
      </x:c>
      <x:c r="F6" s="2" t="s">
        <x:v>49</x:v>
      </x:c>
      <x:c r="G6" s="2" t="s">
        <x:v>45</x:v>
      </x:c>
      <x:c r="H6" s="2" t="s">
        <x:v>50</x:v>
      </x:c>
    </x:row>
    <x:row r="7" ht="44.099998474121094" customHeight="1">
      <x:c r="A7" s="2" t="s">
        <x:v>51</x:v>
      </x:c>
      <x:c r="B7" s="2" t="s">
        <x:v>40</x:v>
      </x:c>
      <x:c r="C7" s="2" t="s">
        <x:v>52</x:v>
      </x:c>
      <x:c r="D7" s="7" t="s">
        <x:v>42</x:v>
      </x:c>
      <x:c r="E7" s="2" t="s">
        <x:v>43</x:v>
      </x:c>
      <x:c r="F7" s="2" t="s">
        <x:v>53</x:v>
      </x:c>
      <x:c r="G7" s="2" t="s">
        <x:v>45</x:v>
      </x:c>
      <x:c r="H7" s="2" t="s">
        <x:v>54</x:v>
      </x:c>
    </x:row>
    <x:row r="8" ht="44.099998474121094" customHeight="1">
      <x:c r="A8" s="2" t="s">
        <x:v>55</x:v>
      </x:c>
      <x:c r="B8" s="2" t="s">
        <x:v>40</x:v>
      </x:c>
      <x:c r="C8" s="2" t="s">
        <x:v>56</x:v>
      </x:c>
      <x:c r="D8" s="7" t="s">
        <x:v>42</x:v>
      </x:c>
      <x:c r="E8" s="2" t="s">
        <x:v>43</x:v>
      </x:c>
      <x:c r="F8" s="2" t="s">
        <x:v>57</x:v>
      </x:c>
      <x:c r="G8" s="2" t="s">
        <x:v>45</x:v>
      </x:c>
      <x:c r="H8" s="2" t="s">
        <x:v>58</x:v>
      </x:c>
    </x:row>
    <x:row r="9" ht="44.099998474121094" customHeight="1">
      <x:c r="A9" s="2" t="s">
        <x:v>59</x:v>
      </x:c>
      <x:c r="B9" s="2" t="s">
        <x:v>40</x:v>
      </x:c>
      <x:c r="C9" s="2" t="s">
        <x:v>60</x:v>
      </x:c>
      <x:c r="D9" s="7" t="s">
        <x:v>42</x:v>
      </x:c>
      <x:c r="E9" s="2" t="s">
        <x:v>43</x:v>
      </x:c>
      <x:c r="F9" s="2" t="str">
        <x:v>필수 약관 3종 동의 완료</x:v>
      </x:c>
      <x:c r="G9" s="2" t="s">
        <x:v>45</x:v>
      </x:c>
      <x:c r="H9" s="2" t="s">
        <x:v>61</x:v>
      </x:c>
    </x:row>
    <x:row r="10" ht="44.099998474121094" customHeight="1">
      <x:c r="A10" s="2" t="s">
        <x:v>62</x:v>
      </x:c>
      <x:c r="B10" s="2" t="s">
        <x:v>40</x:v>
      </x:c>
      <x:c r="C10" s="2" t="s">
        <x:v>63</x:v>
      </x:c>
      <x:c r="D10" s="7" t="s">
        <x:v>42</x:v>
      </x:c>
      <x:c r="E10" s="2" t="s">
        <x:v>43</x:v>
      </x:c>
      <x:c r="F10" s="2" t="s">
        <x:v>64</x:v>
      </x:c>
      <x:c r="G10" s="2" t="s">
        <x:v>65</x:v>
      </x:c>
      <x:c r="H10" s="2" t="s">
        <x:v>66</x:v>
      </x:c>
    </x:row>
    <x:row r="11" ht="44.099998474121094" customHeight="1">
      <x:c r="A11" s="2" t="s">
        <x:v>67</x:v>
      </x:c>
      <x:c r="B11" s="2" t="s">
        <x:v>68</x:v>
      </x:c>
      <x:c r="C11" s="2" t="s">
        <x:v>69</x:v>
      </x:c>
      <x:c r="D11" s="7" t="s">
        <x:v>42</x:v>
      </x:c>
      <x:c r="E11" s="2" t="s">
        <x:v>43</x:v>
      </x:c>
      <x:c r="F11" s="2" t="s">
        <x:v>70</x:v>
      </x:c>
      <x:c r="G11" s="2" t="s">
        <x:v>45</x:v>
      </x:c>
      <x:c r="H11" s="2" t="s">
        <x:v>71</x:v>
      </x:c>
    </x:row>
    <x:row r="12" ht="44.099998474121094" customHeight="1">
      <x:c r="A12" s="2" t="s">
        <x:v>72</x:v>
      </x:c>
      <x:c r="B12" s="2" t="s">
        <x:v>68</x:v>
      </x:c>
      <x:c r="C12" s="2" t="s">
        <x:v>73</x:v>
      </x:c>
      <x:c r="D12" s="7" t="s">
        <x:v>42</x:v>
      </x:c>
      <x:c r="E12" s="2" t="s">
        <x:v>43</x:v>
      </x:c>
      <x:c r="F12" s="2" t="s">
        <x:v>74</x:v>
      </x:c>
      <x:c r="G12" s="2" t="s">
        <x:v>45</x:v>
      </x:c>
      <x:c r="H12" s="2" t="s">
        <x:v>75</x:v>
      </x:c>
    </x:row>
    <x:row r="13" ht="44.099998474121094" customHeight="1">
      <x:c r="A13" s="2" t="s">
        <x:v>76</x:v>
      </x:c>
      <x:c r="B13" s="2" t="s">
        <x:v>68</x:v>
      </x:c>
      <x:c r="C13" s="2" t="s">
        <x:v>77</x:v>
      </x:c>
      <x:c r="D13" s="7" t="s">
        <x:v>42</x:v>
      </x:c>
      <x:c r="E13" s="2" t="s">
        <x:v>43</x:v>
      </x:c>
      <x:c r="F13" s="2" t="s">
        <x:v>78</x:v>
      </x:c>
      <x:c r="G13" s="2" t="s">
        <x:v>45</x:v>
      </x:c>
      <x:c r="H13" s="2" t="s">
        <x:v>75</x:v>
      </x:c>
    </x:row>
    <x:row r="14" ht="44.099998474121094" customHeight="1">
      <x:c r="A14" s="2" t="s">
        <x:v>79</x:v>
      </x:c>
      <x:c r="B14" s="2" t="s">
        <x:v>68</x:v>
      </x:c>
      <x:c r="C14" s="2" t="s">
        <x:v>80</x:v>
      </x:c>
      <x:c r="D14" s="7" t="s">
        <x:v>42</x:v>
      </x:c>
      <x:c r="E14" s="2" t="s">
        <x:v>43</x:v>
      </x:c>
      <x:c r="F14" s="2" t="s">
        <x:v>81</x:v>
      </x:c>
      <x:c r="G14" s="2" t="s">
        <x:v>45</x:v>
      </x:c>
      <x:c r="H14" s="2" t="s">
        <x:v>75</x:v>
      </x:c>
    </x:row>
    <x:row r="15" ht="44.099998474121094" customHeight="1">
      <x:c r="A15" s="2" t="s">
        <x:v>82</x:v>
      </x:c>
      <x:c r="B15" s="2" t="s">
        <x:v>68</x:v>
      </x:c>
      <x:c r="C15" s="2" t="s">
        <x:v>83</x:v>
      </x:c>
      <x:c r="D15" s="7" t="s">
        <x:v>42</x:v>
      </x:c>
      <x:c r="E15" s="2" t="s">
        <x:v>43</x:v>
      </x:c>
      <x:c r="F15" s="2" t="s">
        <x:v>84</x:v>
      </x:c>
      <x:c r="G15" s="2" t="s">
        <x:v>45</x:v>
      </x:c>
      <x:c r="H15" s="2" t="s">
        <x:v>75</x:v>
      </x:c>
    </x:row>
    <x:row r="16" ht="44.099998474121094" customHeight="1">
      <x:c r="A16" s="2" t="s">
        <x:v>85</x:v>
      </x:c>
      <x:c r="B16" s="2" t="s">
        <x:v>68</x:v>
      </x:c>
      <x:c r="C16" s="2" t="s">
        <x:v>86</x:v>
      </x:c>
      <x:c r="D16" s="7" t="s">
        <x:v>42</x:v>
      </x:c>
      <x:c r="E16" s="2" t="s">
        <x:v>43</x:v>
      </x:c>
      <x:c r="F16" s="2" t="s">
        <x:v>87</x:v>
      </x:c>
      <x:c r="G16" s="2" t="s">
        <x:v>45</x:v>
      </x:c>
      <x:c r="H16" s="2" t="s">
        <x:v>75</x:v>
      </x:c>
    </x:row>
    <x:row r="17" ht="44.099998474121094" customHeight="1">
      <x:c r="A17" s="2" t="s">
        <x:v>88</x:v>
      </x:c>
      <x:c r="B17" s="2" t="s">
        <x:v>68</x:v>
      </x:c>
      <x:c r="C17" s="2" t="s">
        <x:v>89</x:v>
      </x:c>
      <x:c r="D17" s="7" t="s">
        <x:v>42</x:v>
      </x:c>
      <x:c r="E17" s="2" t="s">
        <x:v>43</x:v>
      </x:c>
      <x:c r="F17" s="2" t="s">
        <x:v>90</x:v>
      </x:c>
      <x:c r="G17" s="2" t="s">
        <x:v>45</x:v>
      </x:c>
      <x:c r="H17" s="2" t="s">
        <x:v>91</x:v>
      </x:c>
    </x:row>
    <x:row r="18" ht="44.099998474121094" customHeight="1">
      <x:c r="A18" s="2" t="s">
        <x:v>92</x:v>
      </x:c>
      <x:c r="B18" s="2" t="s">
        <x:v>93</x:v>
      </x:c>
      <x:c r="C18" s="2" t="s">
        <x:v>94</x:v>
      </x:c>
      <x:c r="D18" s="7" t="s">
        <x:v>42</x:v>
      </x:c>
      <x:c r="E18" s="2" t="s">
        <x:v>43</x:v>
      </x:c>
      <x:c r="F18" s="2" t="s">
        <x:v>95</x:v>
      </x:c>
      <x:c r="G18" s="2" t="s">
        <x:v>45</x:v>
      </x:c>
      <x:c r="H18" s="2" t="s">
        <x:v>96</x:v>
      </x:c>
    </x:row>
    <x:row r="19" ht="44.099998474121094" customHeight="1">
      <x:c r="A19" s="2" t="s">
        <x:v>97</x:v>
      </x:c>
      <x:c r="B19" s="2" t="s">
        <x:v>98</x:v>
      </x:c>
      <x:c r="C19" s="2" t="s">
        <x:v>99</x:v>
      </x:c>
      <x:c r="D19" s="7" t="s">
        <x:v>42</x:v>
      </x:c>
      <x:c r="E19" s="2" t="s">
        <x:v>43</x:v>
      </x:c>
      <x:c r="F19" s="2" t="s">
        <x:v>100</x:v>
      </x:c>
      <x:c r="G19" s="2" t="s">
        <x:v>45</x:v>
      </x:c>
      <x:c r="H19" s="2" t="s">
        <x:v>101</x:v>
      </x:c>
    </x:row>
    <x:row r="20" ht="44.099998474121094" customHeight="1">
      <x:c r="A20" s="2" t="s">
        <x:v>102</x:v>
      </x:c>
      <x:c r="B20" s="2" t="s">
        <x:v>98</x:v>
      </x:c>
      <x:c r="C20" s="2" t="s">
        <x:v>103</x:v>
      </x:c>
      <x:c r="D20" s="7" t="s">
        <x:v>42</x:v>
      </x:c>
      <x:c r="E20" s="2" t="s">
        <x:v>43</x:v>
      </x:c>
      <x:c r="F20" s="2" t="s">
        <x:v>104</x:v>
      </x:c>
      <x:c r="G20" s="2" t="s">
        <x:v>45</x:v>
      </x:c>
      <x:c r="H20" s="2" t="s">
        <x:v>105</x:v>
      </x:c>
    </x:row>
    <x:row r="21" ht="44.099998474121094" customHeight="1">
      <x:c r="A21" s="2" t="s">
        <x:v>106</x:v>
      </x:c>
      <x:c r="B21" s="2" t="s">
        <x:v>107</x:v>
      </x:c>
      <x:c r="C21" s="2" t="s">
        <x:v>108</x:v>
      </x:c>
      <x:c r="D21" s="7" t="s">
        <x:v>42</x:v>
      </x:c>
      <x:c r="E21" s="2" t="s">
        <x:v>43</x:v>
      </x:c>
      <x:c r="F21" s="2" t="s">
        <x:v>109</x:v>
      </x:c>
      <x:c r="G21" s="2" t="s">
        <x:v>45</x:v>
      </x:c>
      <x:c r="H21" s="2" t="s">
        <x:v>110</x:v>
      </x:c>
    </x:row>
    <x:row r="22" ht="44.099998474121094" customHeight="1">
      <x:c r="A22" s="2" t="s">
        <x:v>111</x:v>
      </x:c>
      <x:c r="B22" s="2" t="s">
        <x:v>107</x:v>
      </x:c>
      <x:c r="C22" s="2" t="s">
        <x:v>112</x:v>
      </x:c>
      <x:c r="D22" s="8" t="s">
        <x:v>113</x:v>
      </x:c>
      <x:c r="E22" s="2" t="s">
        <x:v>43</x:v>
      </x:c>
      <x:c r="F22" s="2" t="s">
        <x:v>114</x:v>
      </x:c>
      <x:c r="G22" s="2" t="s">
        <x:v>65</x:v>
      </x:c>
      <x:c r="H22" s="2" t="s">
        <x:v>115</x:v>
      </x:c>
    </x:row>
    <x:row r="23" ht="44.099998474121094" customHeight="1">
      <x:c r="A23" s="2" t="s">
        <x:v>116</x:v>
      </x:c>
      <x:c r="B23" s="2" t="s">
        <x:v>107</x:v>
      </x:c>
      <x:c r="C23" s="2" t="s">
        <x:v>117</x:v>
      </x:c>
      <x:c r="D23" s="7" t="s">
        <x:v>42</x:v>
      </x:c>
      <x:c r="E23" s="2" t="s">
        <x:v>43</x:v>
      </x:c>
      <x:c r="F23" s="2" t="s">
        <x:v>118</x:v>
      </x:c>
      <x:c r="G23" s="2" t="s">
        <x:v>45</x:v>
      </x:c>
      <x:c r="H23" s="2" t="s">
        <x:v>119</x:v>
      </x:c>
    </x:row>
    <x:row r="24" ht="44.099998474121094" customHeight="1">
      <x:c r="A24" s="2" t="s">
        <x:v>120</x:v>
      </x:c>
      <x:c r="B24" s="2" t="s">
        <x:v>107</x:v>
      </x:c>
      <x:c r="C24" s="2" t="s">
        <x:v>121</x:v>
      </x:c>
      <x:c r="D24" s="7" t="s">
        <x:v>42</x:v>
      </x:c>
      <x:c r="E24" s="2" t="s">
        <x:v>43</x:v>
      </x:c>
      <x:c r="F24" s="2" t="s">
        <x:v>122</x:v>
      </x:c>
      <x:c r="G24" s="2" t="s">
        <x:v>45</x:v>
      </x:c>
      <x:c r="H24" s="2" t="s">
        <x:v>123</x:v>
      </x:c>
    </x:row>
    <x:row r="25" ht="44.099998474121094" customHeight="1">
      <x:c r="A25" s="2" t="s">
        <x:v>124</x:v>
      </x:c>
      <x:c r="B25" s="2" t="s">
        <x:v>107</x:v>
      </x:c>
      <x:c r="C25" s="2" t="s">
        <x:v>125</x:v>
      </x:c>
      <x:c r="D25" s="7" t="s">
        <x:v>126</x:v>
      </x:c>
      <x:c r="E25" s="2" t="s">
        <x:v>43</x:v>
      </x:c>
      <x:c r="F25" s="2" t="s">
        <x:v>127</x:v>
      </x:c>
      <x:c r="G25" s="2" t="s">
        <x:v>65</x:v>
      </x:c>
      <x:c r="H25" s="2" t="s">
        <x:v>128</x:v>
      </x:c>
    </x:row>
    <x:row r="26" ht="44.099998474121094" customHeight="1">
      <x:c r="A26" s="2" t="s">
        <x:v>129</x:v>
      </x:c>
      <x:c r="B26" s="2" t="s">
        <x:v>130</x:v>
      </x:c>
      <x:c r="C26" s="2" t="s">
        <x:v>131</x:v>
      </x:c>
      <x:c r="D26" s="7" t="s">
        <x:v>132</x:v>
      </x:c>
      <x:c r="E26" s="2" t="s">
        <x:v>43</x:v>
      </x:c>
      <x:c r="F26" s="2" t="s">
        <x:v>133</x:v>
      </x:c>
      <x:c r="G26" s="2" t="s">
        <x:v>134</x:v>
      </x:c>
      <x:c r="H26" s="2" t="s">
        <x:v>135</x:v>
      </x:c>
    </x:row>
    <x:row r="27" ht="44.099998474121094" customHeight="1">
      <x:c r="A27" s="2" t="s">
        <x:v>136</x:v>
      </x:c>
      <x:c r="B27" s="2" t="s">
        <x:v>137</x:v>
      </x:c>
      <x:c r="C27" s="2" t="s">
        <x:v>138</x:v>
      </x:c>
      <x:c r="D27" s="7" t="s">
        <x:v>42</x:v>
      </x:c>
      <x:c r="E27" s="2" t="s">
        <x:v>43</x:v>
      </x:c>
      <x:c r="F27" s="2" t="s">
        <x:v>139</x:v>
      </x:c>
      <x:c r="G27" s="2" t="s">
        <x:v>45</x:v>
      </x:c>
      <x:c r="H27" s="2" t="s">
        <x:v>140</x:v>
      </x:c>
    </x:row>
    <x:row r="28" ht="44.099998474121094" customHeight="1">
      <x:c r="A28" s="2" t="s">
        <x:v>141</x:v>
      </x:c>
      <x:c r="B28" s="2" t="s">
        <x:v>142</x:v>
      </x:c>
      <x:c r="C28" s="2" t="s">
        <x:v>142</x:v>
      </x:c>
      <x:c r="D28" s="7" t="s">
        <x:v>126</x:v>
      </x:c>
      <x:c r="E28" s="2" t="s">
        <x:v>43</x:v>
      </x:c>
      <x:c r="F28" s="2" t="s">
        <x:v>143</x:v>
      </x:c>
      <x:c r="G28" s="2" t="s">
        <x:v>45</x:v>
      </x:c>
      <x:c r="H28" s="2" t="s">
        <x:v>144</x:v>
      </x:c>
    </x:row>
    <x:row r="29" ht="44.099998474121094" customHeight="1">
      <x:c r="A29" s="2" t="s">
        <x:v>145</x:v>
      </x:c>
      <x:c r="B29" s="2" t="s">
        <x:v>142</x:v>
      </x:c>
      <x:c r="C29" s="2" t="s">
        <x:v>146</x:v>
      </x:c>
      <x:c r="D29" s="7" t="s">
        <x:v>42</x:v>
      </x:c>
      <x:c r="E29" s="2" t="s">
        <x:v>43</x:v>
      </x:c>
      <x:c r="F29" s="2" t="s">
        <x:v>147</x:v>
      </x:c>
      <x:c r="G29" s="2" t="s">
        <x:v>45</x:v>
      </x:c>
      <x:c r="H29" s="2" t="s">
        <x:v>148</x:v>
      </x:c>
    </x:row>
    <x:row r="30" ht="44.099998474121094" customHeight="1">
      <x:c r="A30" s="2" t="s">
        <x:v>149</x:v>
      </x:c>
      <x:c r="B30" s="2" t="s">
        <x:v>150</x:v>
      </x:c>
      <x:c r="C30" s="2" t="s">
        <x:v>151</x:v>
      </x:c>
      <x:c r="D30" s="7" t="s">
        <x:v>126</x:v>
      </x:c>
      <x:c r="E30" s="2" t="s">
        <x:v>43</x:v>
      </x:c>
      <x:c r="F30" s="2" t="s">
        <x:v>152</x:v>
      </x:c>
      <x:c r="G30" s="2" t="s">
        <x:v>153</x:v>
      </x:c>
      <x:c r="H30" s="2" t="s">
        <x:v>154</x:v>
      </x:c>
    </x:row>
    <x:row r="31" ht="44.099998474121094" customHeight="1">
      <x:c r="A31" s="2" t="s">
        <x:v>155</x:v>
      </x:c>
      <x:c r="B31" s="2" t="s">
        <x:v>150</x:v>
      </x:c>
      <x:c r="C31" s="2" t="s">
        <x:v>156</x:v>
      </x:c>
      <x:c r="D31" s="7" t="s">
        <x:v>132</x:v>
      </x:c>
      <x:c r="E31" s="2" t="s">
        <x:v>43</x:v>
      </x:c>
      <x:c r="F31" s="2" t="s">
        <x:v>157</x:v>
      </x:c>
      <x:c r="G31" s="2" t="s">
        <x:v>158</x:v>
      </x:c>
      <x:c r="H31" s="2" t="s">
        <x:v>159</x:v>
      </x:c>
    </x:row>
    <x:row r="32" ht="44.099998474121094" customHeight="1">
      <x:c r="A32" s="2" t="s">
        <x:v>160</x:v>
      </x:c>
      <x:c r="B32" s="2" t="s">
        <x:v>150</x:v>
      </x:c>
      <x:c r="C32" s="2" t="s">
        <x:v>161</x:v>
      </x:c>
      <x:c r="D32" s="7" t="s">
        <x:v>132</x:v>
      </x:c>
      <x:c r="E32" s="2" t="s">
        <x:v>43</x:v>
      </x:c>
      <x:c r="F32" s="2" t="s">
        <x:v>162</x:v>
      </x:c>
      <x:c r="G32" s="2" t="s">
        <x:v>158</x:v>
      </x:c>
      <x:c r="H32" s="2" t="s">
        <x:v>163</x:v>
      </x:c>
    </x:row>
    <x:row r="33" ht="44.099998474121094" customHeight="1">
      <x:c r="A33" s="2" t="s">
        <x:v>164</x:v>
      </x:c>
      <x:c r="B33" s="2" t="s">
        <x:v>150</x:v>
      </x:c>
      <x:c r="C33" s="2" t="s">
        <x:v>165</x:v>
      </x:c>
      <x:c r="D33" s="7" t="s">
        <x:v>132</x:v>
      </x:c>
      <x:c r="E33" s="2" t="s">
        <x:v>43</x:v>
      </x:c>
      <x:c r="F33" s="2" t="s">
        <x:v>166</x:v>
      </x:c>
      <x:c r="G33" s="2" t="s">
        <x:v>158</x:v>
      </x:c>
      <x:c r="H33" s="2" t="s">
        <x:v>167</x:v>
      </x:c>
    </x:row>
    <x:row r="34" ht="44.099998474121094" customHeight="1">
      <x:c r="A34" s="2" t="s">
        <x:v>168</x:v>
      </x:c>
      <x:c r="B34" s="2" t="s">
        <x:v>150</x:v>
      </x:c>
      <x:c r="C34" s="2" t="s">
        <x:v>169</x:v>
      </x:c>
      <x:c r="D34" s="7" t="s">
        <x:v>132</x:v>
      </x:c>
      <x:c r="E34" s="2" t="s">
        <x:v>43</x:v>
      </x:c>
      <x:c r="F34" s="2" t="str">
        <x:v>Frontend에 하드코딩된 현재 약관·개인정보·위치 약관 열람</x:v>
      </x:c>
      <x:c r="G34" s="2" t="s">
        <x:v>45</x:v>
      </x:c>
      <x:c r="H34" s="2" t="s">
        <x:v>170</x:v>
      </x:c>
    </x:row>
    <x:row r="35" ht="44.099998474121094" customHeight="1">
      <x:c r="A35" s="2" t="s">
        <x:v>171</x:v>
      </x:c>
      <x:c r="B35" s="2" t="s">
        <x:v>172</x:v>
      </x:c>
      <x:c r="C35" s="2" t="s">
        <x:v>173</x:v>
      </x:c>
      <x:c r="D35" s="7" t="s">
        <x:v>42</x:v>
      </x:c>
      <x:c r="E35" s="2" t="s">
        <x:v>174</x:v>
      </x:c>
      <x:c r="F35" s="2" t="s">
        <x:v>175</x:v>
      </x:c>
      <x:c r="G35" s="2" t="s">
        <x:v>45</x:v>
      </x:c>
      <x:c r="H35" s="2" t="s">
        <x:v>176</x:v>
      </x:c>
    </x:row>
    <x:row r="36" ht="44.099998474121094" customHeight="1">
      <x:c r="A36" s="2" t="s">
        <x:v>177</x:v>
      </x:c>
      <x:c r="B36" s="2" t="s">
        <x:v>178</x:v>
      </x:c>
      <x:c r="C36" s="2" t="s">
        <x:v>179</x:v>
      </x:c>
      <x:c r="D36" s="7" t="s">
        <x:v>126</x:v>
      </x:c>
      <x:c r="E36" s="2" t="s">
        <x:v>174</x:v>
      </x:c>
      <x:c r="F36" s="2" t="s">
        <x:v>180</x:v>
      </x:c>
      <x:c r="G36" s="2" t="s">
        <x:v>181</x:v>
      </x:c>
      <x:c r="H36" s="2" t="s">
        <x:v>182</x:v>
      </x:c>
    </x:row>
    <x:row r="37" ht="44.099998474121094" customHeight="1">
      <x:c r="A37" s="2" t="s">
        <x:v>183</x:v>
      </x:c>
      <x:c r="B37" s="2" t="s">
        <x:v>184</x:v>
      </x:c>
      <x:c r="C37" s="2" t="s">
        <x:v>185</x:v>
      </x:c>
      <x:c r="D37" s="7" t="s">
        <x:v>126</x:v>
      </x:c>
      <x:c r="E37" s="2" t="s">
        <x:v>174</x:v>
      </x:c>
      <x:c r="F37" s="2" t="s">
        <x:v>186</x:v>
      </x:c>
      <x:c r="G37" s="2" t="s">
        <x:v>181</x:v>
      </x:c>
      <x:c r="H37" s="2" t="s">
        <x:v>187</x:v>
      </x:c>
    </x:row>
    <x:row r="38" ht="44.099998474121094" customHeight="1">
      <x:c r="A38" s="2" t="s">
        <x:v>188</x:v>
      </x:c>
      <x:c r="B38" s="2" t="s">
        <x:v>184</x:v>
      </x:c>
      <x:c r="C38" s="2" t="s">
        <x:v>189</x:v>
      </x:c>
      <x:c r="D38" s="7" t="s">
        <x:v>126</x:v>
      </x:c>
      <x:c r="E38" s="2" t="s">
        <x:v>174</x:v>
      </x:c>
      <x:c r="F38" s="2" t="s">
        <x:v>190</x:v>
      </x:c>
      <x:c r="G38" s="2" t="s">
        <x:v>181</x:v>
      </x:c>
      <x:c r="H38" s="2" t="s">
        <x:v>191</x:v>
      </x:c>
    </x:row>
    <x:row r="39" ht="44.099998474121094" customHeight="1">
      <x:c r="A39" s="2" t="s">
        <x:v>192</x:v>
      </x:c>
      <x:c r="B39" s="2" t="s">
        <x:v>193</x:v>
      </x:c>
      <x:c r="C39" s="2" t="s">
        <x:v>194</x:v>
      </x:c>
      <x:c r="D39" s="7" t="s">
        <x:v>126</x:v>
      </x:c>
      <x:c r="E39" s="2" t="s">
        <x:v>174</x:v>
      </x:c>
      <x:c r="F39" s="2" t="s">
        <x:v>195</x:v>
      </x:c>
      <x:c r="G39" s="2" t="s">
        <x:v>181</x:v>
      </x:c>
      <x:c r="H39" s="2" t="s">
        <x:v>196</x:v>
      </x:c>
    </x:row>
    <x:row r="40" ht="44.099998474121094" customHeight="1">
      <x:c r="A40" s="2" t="s">
        <x:v>197</x:v>
      </x:c>
      <x:c r="B40" s="2" t="s">
        <x:v>193</x:v>
      </x:c>
      <x:c r="C40" s="2" t="s">
        <x:v>198</x:v>
      </x:c>
      <x:c r="D40" s="7" t="s">
        <x:v>132</x:v>
      </x:c>
      <x:c r="E40" s="2" t="s">
        <x:v>174</x:v>
      </x:c>
      <x:c r="F40" s="2" t="s">
        <x:v>199</x:v>
      </x:c>
      <x:c r="G40" s="2" t="s">
        <x:v>181</x:v>
      </x:c>
      <x:c r="H40" s="2" t="s">
        <x:v>200</x:v>
      </x:c>
    </x:row>
    <x:row r="41" ht="44.099998474121094" customHeight="1">
      <x:c r="A41" s="2" t="s">
        <x:v>201</x:v>
      </x:c>
      <x:c r="B41" s="2" t="s">
        <x:v>193</x:v>
      </x:c>
      <x:c r="C41" s="2" t="s">
        <x:v>202</x:v>
      </x:c>
      <x:c r="D41" s="7" t="s">
        <x:v>132</x:v>
      </x:c>
      <x:c r="E41" s="2" t="s">
        <x:v>174</x:v>
      </x:c>
      <x:c r="F41" s="2" t="s">
        <x:v>203</x:v>
      </x:c>
      <x:c r="G41" s="2" t="s">
        <x:v>181</x:v>
      </x:c>
      <x:c r="H41" s="2" t="s">
        <x:v>204</x:v>
      </x:c>
    </x:row>
    <x:row r="42" ht="44.099998474121094" customHeight="1">
      <x:c r="A42" s="2" t="s">
        <x:v>205</x:v>
      </x:c>
      <x:c r="B42" s="2" t="s">
        <x:v>193</x:v>
      </x:c>
      <x:c r="C42" s="2" t="s">
        <x:v>206</x:v>
      </x:c>
      <x:c r="D42" s="7" t="s">
        <x:v>132</x:v>
      </x:c>
      <x:c r="E42" s="2" t="s">
        <x:v>174</x:v>
      </x:c>
      <x:c r="F42" s="2" t="s">
        <x:v>207</x:v>
      </x:c>
      <x:c r="G42" s="2" t="s">
        <x:v>181</x:v>
      </x:c>
      <x:c r="H42" s="2" t="s">
        <x:v>208</x:v>
      </x:c>
    </x:row>
    <x:row r="43" ht="44.099998474121094" customHeight="1">
      <x:c r="A43" s="2" t="s">
        <x:v>209</x:v>
      </x:c>
      <x:c r="B43" s="2" t="s">
        <x:v>193</x:v>
      </x:c>
      <x:c r="C43" s="2" t="s">
        <x:v>210</x:v>
      </x:c>
      <x:c r="D43" s="7" t="s">
        <x:v>132</x:v>
      </x:c>
      <x:c r="E43" s="2" t="s">
        <x:v>174</x:v>
      </x:c>
      <x:c r="F43" s="2" t="s">
        <x:v>211</x:v>
      </x:c>
      <x:c r="G43" s="2" t="s">
        <x:v>181</x:v>
      </x:c>
      <x:c r="H43" s="2" t="s">
        <x:v>212</x:v>
      </x:c>
    </x:row>
    <x:row r="44" ht="44.099998474121094" customHeight="1">
      <x:c r="A44" s="2" t="s">
        <x:v>213</x:v>
      </x:c>
      <x:c r="B44" s="2" t="s">
        <x:v>214</x:v>
      </x:c>
      <x:c r="C44" s="2" t="s">
        <x:v>215</x:v>
      </x:c>
      <x:c r="D44" s="7" t="s">
        <x:v>216</x:v>
      </x:c>
      <x:c r="E44" s="2" t="s">
        <x:v>174</x:v>
      </x:c>
      <x:c r="F44" s="2" t="s">
        <x:v>217</x:v>
      </x:c>
      <x:c r="G44" s="2" t="s">
        <x:v>181</x:v>
      </x:c>
      <x:c r="H44" s="2" t="s">
        <x:v>218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4bfcab17b6e14a7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9" customWidth="1"/>
    <x:col min="2" max="2" width="16" customWidth="1"/>
    <x:col min="3" max="3" width="30" customWidth="1"/>
    <x:col min="4" max="4" width="54" customWidth="1"/>
    <x:col min="5" max="5" width="40" customWidth="1"/>
    <x:col min="6" max="6" width="42" customWidth="1"/>
    <x:col min="7" max="7" width="29" customWidth="1"/>
    <x:col min="8" max="8" width="17" customWidth="1"/>
    <x:col min="9" max="9" width="34" customWidth="1"/>
    <x:col min="10" max="10" width="30" customWidth="1"/>
    <x:col min="11" max="11" width="52" customWidth="1"/>
    <x:col min="12" max="12" width="18" customWidth="1"/>
    <x:col min="13" max="13" width="24" customWidth="1"/>
  </x:cols>
  <x:sheetData>
    <x:row r="1" ht="33.95000076293945" customHeight="1">
      <x:c r="A1" s="16" t="str">
        <x:v>화면별 데이터 매핑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</x:row>
    <x:row r="2" ht="27.950000762939453" customHeight="1">
      <x:c r="A2" s="17" t="str">
        <x:v>화면에서 필요한 동적 데이터·입력·출력·출처·저장 여부·Entity·검증 규칙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</x:row>
    <x:row r="4" ht="33.95000076293945" customHeight="1">
      <x:c r="A4" s="6" t="str">
        <x:v>화면 ID</x:v>
      </x:c>
      <x:c r="B4" s="6" t="str">
        <x:v>영역</x:v>
      </x:c>
      <x:c r="C4" s="6" t="str">
        <x:v>화면명</x:v>
      </x:c>
      <x:c r="D4" s="6" t="str">
        <x:v>필요한 동적 데이터</x:v>
      </x:c>
      <x:c r="E4" s="6" t="str">
        <x:v>사용자 입력</x:v>
      </x:c>
      <x:c r="F4" s="6" t="str">
        <x:v>출력/조회 데이터</x:v>
      </x:c>
      <x:c r="G4" s="6" t="str">
        <x:v>데이터 출처</x:v>
      </x:c>
      <x:c r="H4" s="6" t="str">
        <x:v>DB 저장 필요</x:v>
      </x:c>
      <x:c r="I4" s="6" t="str">
        <x:v>후보 Entity</x:v>
      </x:c>
      <x:c r="J4" s="6" t="str">
        <x:v>DB 미저장/런타임</x:v>
      </x:c>
      <x:c r="K4" s="6" t="str">
        <x:v>주요 검증·제약</x:v>
      </x:c>
      <x:c r="L4" s="6" t="str">
        <x:v>근거 유형</x:v>
      </x:c>
      <x:c r="M4" s="6" t="str">
        <x:v>최종 기준</x:v>
      </x:c>
    </x:row>
    <x:row r="5" ht="62.099998474121094" customHeight="1">
      <x:c r="A5" s="2" t="str">
        <x:v>M-AUTH-001</x:v>
      </x:c>
      <x:c r="B5" s="2" t="str">
        <x:v>인증</x:v>
      </x:c>
      <x:c r="C5" s="2" t="str">
        <x:v>Splash</x:v>
      </x:c>
      <x:c r="D5" s="2" t="str">
        <x:v>세션 유효 여부, 만료일, 사용자 ID, 온보딩 완료 여부</x:v>
      </x:c>
      <x:c r="E5" s="2" t="str">
        <x:v>-</x:v>
      </x:c>
      <x:c r="F5" s="2" t="str">
        <x:v>Home / Onboarding / Login 분기</x:v>
      </x:c>
      <x:c r="G5" s="2" t="str">
        <x:v>자체 Backend + DB</x:v>
      </x:c>
      <x:c r="H5" s="2" t="str">
        <x:v>일부</x:v>
      </x:c>
      <x:c r="I5" s="2" t="str">
        <x:v>회원, 사용자세션, 운전부담설정</x:v>
      </x:c>
      <x:c r="J5" s="2" t="str">
        <x:v>Loading UI</x:v>
      </x:c>
      <x:c r="K5" s="2" t="str">
        <x:v>만료·폐기 세션 차단</x:v>
      </x:c>
      <x:c r="L5" s="7" t="str">
        <x:v>확정</x:v>
      </x:c>
      <x:c r="M5" s="2" t="str">
        <x:v>인증 흐름</x:v>
      </x:c>
    </x:row>
    <x:row r="6" ht="62.099998474121094" customHeight="1">
      <x:c r="A6" s="2" t="str">
        <x:v>M-AUTH-002</x:v>
      </x:c>
      <x:c r="B6" s="2" t="str">
        <x:v>인증</x:v>
      </x:c>
      <x:c r="C6" s="2" t="str">
        <x:v>로그인</x:v>
      </x:c>
      <x:c r="D6" s="2" t="str">
        <x:v>아이디 또는 이메일, 인증 결과, 로그인 방식, 사용자·설문 상태</x:v>
      </x:c>
      <x:c r="E6" s="2" t="str">
        <x:v>아이디/이메일, 비밀번호, 소셜 선택</x:v>
      </x:c>
      <x:c r="F6" s="2" t="str">
        <x:v>성공/실패, 다음 화면</x:v>
      </x:c>
      <x:c r="G6" s="2" t="str">
        <x:v>사용자 + 자체 Backend + DB</x:v>
      </x:c>
      <x:c r="H6" s="2" t="str">
        <x:v>일부</x:v>
      </x:c>
      <x:c r="I6" s="2" t="str">
        <x:v>회원, 인증계정, 사용자세션</x:v>
      </x:c>
      <x:c r="J6" s="2" t="str">
        <x:v>비밀번호 원문</x:v>
      </x:c>
      <x:c r="K6" s="2" t="str">
        <x:v>Local은 아이디/이메일 식별; 소셜은 provider subject 검증</x:v>
      </x:c>
      <x:c r="L6" s="7" t="str">
        <x:v>확정</x:v>
      </x:c>
      <x:c r="M6" s="2" t="str">
        <x:v>인증 흐름</x:v>
      </x:c>
    </x:row>
    <x:row r="7" ht="62.099998474121094" customHeight="1">
      <x:c r="A7" s="2" t="str">
        <x:v>M-AUTH-003</x:v>
      </x:c>
      <x:c r="B7" s="2" t="str">
        <x:v>인증</x:v>
      </x:c>
      <x:c r="C7" s="2" t="str">
        <x:v>회원가입</x:v>
      </x:c>
      <x:c r="D7" s="2" t="str">
        <x:v>아이디, 이메일, 비밀번호, 확인값, 닉네임, 중복 여부</x:v>
      </x:c>
      <x:c r="E7" s="2" t="str">
        <x:v>아이디, 이메일, 비밀번호, 비밀번호 확인, 닉네임</x:v>
      </x:c>
      <x:c r="F7" s="2" t="str">
        <x:v>유효성·중복 검사 결과</x:v>
      </x:c>
      <x:c r="G7" s="2" t="str">
        <x:v>사용자 + 자체 Backend + DB</x:v>
      </x:c>
      <x:c r="H7" s="2" t="str">
        <x:v>O/일부</x:v>
      </x:c>
      <x:c r="I7" s="2" t="str">
        <x:v>회원, 인증계정</x:v>
      </x:c>
      <x:c r="J7" s="2" t="str">
        <x:v>비밀번호 원문·확인값</x:v>
      </x:c>
      <x:c r="K7" s="2" t="str">
        <x:v>아이디 ^[a-z][a-z0-9_]{4,19}$; 이메일 ^[a-zA-Z0-9._%+-]+@[a-zA-Z0-9.-]+\.[a-zA-Z]{2,}$; 비밀번호 ^(?=.*[A-Za-z])(?=.*\d)(?=.*[!@#$%^&amp;*()_+\-=\[\]{};':"\\|,.&lt;&gt;/?])(?!.*\s).{8,20}$; 닉네임 ^[가-힣a-zA-Z0-9]{2,10}$; 이메일은 Backend에서 trim + lowercase 후 저장; 아이디/이메일 UNIQUE</x:v>
      </x:c>
      <x:c r="L7" s="2" t="str">
        <x:v>확정+팀확인</x:v>
      </x:c>
      <x:c r="M7" s="2" t="str">
        <x:v>회원가입</x:v>
      </x:c>
    </x:row>
    <x:row r="8" ht="62.099998474121094" customHeight="1">
      <x:c r="A8" s="2" t="str">
        <x:v>M-AUTH-004</x:v>
      </x:c>
      <x:c r="B8" s="2" t="str">
        <x:v>인증</x:v>
      </x:c>
      <x:c r="C8" s="2" t="str">
        <x:v>이메일 인증</x:v>
      </x:c>
      <x:c r="D8" s="2" t="str">
        <x:v>이메일, 인증코드, 만료시각, 인증·재전송 상태</x:v>
      </x:c>
      <x:c r="E8" s="2" t="str">
        <x:v>6자리 인증코드</x:v>
      </x:c>
      <x:c r="F8" s="2" t="str">
        <x:v>남은 시간, 성공/실패</x:v>
      </x:c>
      <x:c r="G8" s="2" t="str">
        <x:v>사용자 + 자체 Backend</x:v>
      </x:c>
      <x:c r="H8" s="2" t="str">
        <x:v>일부</x:v>
      </x:c>
      <x:c r="I8" s="2" t="str">
        <x:v>이메일인증</x:v>
      </x:c>
      <x:c r="J8" s="2" t="str">
        <x:v>타이머·입력값</x:v>
      </x:c>
      <x:c r="K8" s="2" t="str">
        <x:v>6자리, 만료, 시도 횟수 제한, 코드 hash 저장</x:v>
      </x:c>
      <x:c r="L8" s="7" t="str">
        <x:v>확정+설계</x:v>
      </x:c>
      <x:c r="M8" s="2" t="str">
        <x:v>이메일 인증</x:v>
      </x:c>
    </x:row>
    <x:row r="9" ht="62.099998474121094" customHeight="1">
      <x:c r="A9" s="2" t="str">
        <x:v>M-AUTH-005</x:v>
      </x:c>
      <x:c r="B9" s="2" t="str">
        <x:v>인증</x:v>
      </x:c>
      <x:c r="C9" s="2" t="str">
        <x:v>필수 약관 동의</x:v>
      </x:c>
      <x:c r="D9" s="2" t="str">
        <x:v>서비스·개인정보·위치기반서비스 필수 3종 동의</x:v>
      </x:c>
      <x:c r="E9" s="2" t="str">
        <x:v>필수 3종 동의</x:v>
      </x:c>
      <x:c r="F9" s="2" t="str">
        <x:v>CTA 활성화, 가입 완료</x:v>
      </x:c>
      <x:c r="G9" s="2" t="str">
        <x:v>Frontend 정적 문구 + 자체 Backend + DB(동의시각)</x:v>
      </x:c>
      <x:c r="H9" s="2" t="str">
        <x:v>일부</x:v>
      </x:c>
      <x:c r="I9" s="2" t="str">
        <x:v>약관동의</x:v>
      </x:c>
      <x:c r="J9" s="2" t="str">
        <x:v>약관 본문·전체동의 체크 UI</x:v>
      </x:c>
      <x:c r="K9" s="2" t="str">
        <x:v>필수 3종 모두 동의 후 1건 기록; 약관 본문은 DB 미저장</x:v>
      </x:c>
      <x:c r="L9" s="7" t="str">
        <x:v>확정</x:v>
      </x:c>
      <x:c r="M9" s="2" t="str">
        <x:v>약관</x:v>
      </x:c>
    </x:row>
    <x:row r="10" ht="62.099998474121094" customHeight="1">
      <x:c r="A10" s="2" t="str">
        <x:v>M-AUTH-006</x:v>
      </x:c>
      <x:c r="B10" s="2" t="str">
        <x:v>인증</x:v>
      </x:c>
      <x:c r="C10" s="2" t="str">
        <x:v>비밀번호 재설정</x:v>
      </x:c>
      <x:c r="D10" s="2" t="str">
        <x:v>이메일, 인증상태, 새 비밀번호</x:v>
      </x:c>
      <x:c r="E10" s="2" t="str">
        <x:v>이메일, 인증코드, 새 비밀번호, 확인</x:v>
      </x:c>
      <x:c r="F10" s="2" t="str">
        <x:v>변경 성공/실패</x:v>
      </x:c>
      <x:c r="G10" s="2" t="str">
        <x:v>사용자 + 자체 Backend + DB</x:v>
      </x:c>
      <x:c r="H10" s="2" t="str">
        <x:v>일부</x:v>
      </x:c>
      <x:c r="I10" s="2" t="str">
        <x:v>이메일인증, 인증계정</x:v>
      </x:c>
      <x:c r="J10" s="2" t="str">
        <x:v>비밀번호 원문·확인값</x:v>
      </x:c>
      <x:c r="K10" s="2" t="str">
        <x:v>새 비밀번호 Backend 검증: ^(?=.*[A-Za-z])(?=.*\d)(?=.*[!@#$%^&amp;*()_+\-=\[\]{};':"\\|,.&lt;&gt;/?])(?!.*\s).{8,20}$; 해시 후 저장; 기존 세션 폐기</x:v>
      </x:c>
      <x:c r="L10" s="7" t="str">
        <x:v>확정+설계</x:v>
      </x:c>
      <x:c r="M10" s="2" t="str">
        <x:v>비밀번호 재설정</x:v>
      </x:c>
    </x:row>
    <x:row r="11" ht="62.099998474121094" customHeight="1">
      <x:c r="A11" s="2" t="str">
        <x:v>M-ONB-001</x:v>
      </x:c>
      <x:c r="B11" s="2" t="str">
        <x:v>온보딩</x:v>
      </x:c>
      <x:c r="C11" s="2" t="str">
        <x:v>위치 권한</x:v>
      </x:c>
      <x:c r="D11" s="2" t="str">
        <x:v>위치 권한 상태, 현재 GPS, 수동 출발지 여부</x:v>
      </x:c>
      <x:c r="E11" s="2" t="str">
        <x:v>허용/거부</x:v>
      </x:c>
      <x:c r="F11" s="2" t="str">
        <x:v>현재 위치 또는 수동입력 진입</x:v>
      </x:c>
      <x:c r="G11" s="2" t="str">
        <x:v>Device Geolocation</x:v>
      </x:c>
      <x:c r="H11" s="2" t="str">
        <x:v>대부분 X</x:v>
      </x:c>
      <x:c r="I11" s="2" t="str">
        <x:v>위치상태(비영속)</x:v>
      </x:c>
      <x:c r="J11" s="2" t="str">
        <x:v>권한·현재 GPS</x:v>
      </x:c>
      <x:c r="K11" s="2" t="str">
        <x:v>거부 시 서비스 차단 금지; 수동 출발지 제공</x:v>
      </x:c>
      <x:c r="L11" s="7" t="str">
        <x:v>확정</x:v>
      </x:c>
      <x:c r="M11" s="2" t="str">
        <x:v>온보딩</x:v>
      </x:c>
    </x:row>
    <x:row r="12" ht="62.099998474121094" customHeight="1">
      <x:c r="A12" s="2" t="str">
        <x:v>M-ONB-002-01</x:v>
      </x:c>
      <x:c r="B12" s="2" t="str">
        <x:v>온보딩</x:v>
      </x:c>
      <x:c r="C12" s="2" t="str">
        <x:v>설문1 복잡·신호없는 교차로</x:v>
      </x:c>
      <x:c r="D12" s="2" t="str">
        <x:v>사용자 ID, 문항1 원점수</x:v>
      </x:c>
      <x:c r="E12" s="2" t="str">
        <x:v>1~5 단일 선택</x:v>
      </x:c>
      <x:c r="F12" s="2" t="str">
        <x:v>선택값 유지</x:v>
      </x:c>
      <x:c r="G12" s="2" t="str">
        <x:v>사용자 + DB</x:v>
      </x:c>
      <x:c r="H12" s="2" t="str">
        <x:v>O</x:v>
      </x:c>
      <x:c r="I12" s="2" t="str">
        <x:v>운전부담설정</x:v>
      </x:c>
      <x:c r="J12" s="2" t="str">
        <x:v>1/5 Progress</x:v>
      </x:c>
      <x:c r="K12" s="2" t="str">
        <x:v>정수 1~5</x:v>
      </x:c>
      <x:c r="L12" s="7" t="str">
        <x:v>확정</x:v>
      </x:c>
      <x:c r="M12" s="2" t="str">
        <x:v>온보딩 설문</x:v>
      </x:c>
    </x:row>
    <x:row r="13" ht="62.099998474121094" customHeight="1">
      <x:c r="A13" s="2" t="str">
        <x:v>M-ONB-002-02</x:v>
      </x:c>
      <x:c r="B13" s="2" t="str">
        <x:v>온보딩</x:v>
      </x:c>
      <x:c r="C13" s="2" t="str">
        <x:v>설문2 보행자·어린이 보호구역</x:v>
      </x:c>
      <x:c r="D13" s="2" t="str">
        <x:v>사용자 ID, 문항2 원점수</x:v>
      </x:c>
      <x:c r="E13" s="2" t="str">
        <x:v>1~5 단일 선택</x:v>
      </x:c>
      <x:c r="F13" s="2" t="str">
        <x:v>선택값 유지</x:v>
      </x:c>
      <x:c r="G13" s="2" t="str">
        <x:v>사용자 + DB</x:v>
      </x:c>
      <x:c r="H13" s="2" t="str">
        <x:v>O</x:v>
      </x:c>
      <x:c r="I13" s="2" t="str">
        <x:v>운전부담설정</x:v>
      </x:c>
      <x:c r="J13" s="2" t="str">
        <x:v>2/5 Progress</x:v>
      </x:c>
      <x:c r="K13" s="2" t="str">
        <x:v>정수 1~5</x:v>
      </x:c>
      <x:c r="L13" s="7" t="str">
        <x:v>확정</x:v>
      </x:c>
      <x:c r="M13" s="2" t="str">
        <x:v>온보딩 설문</x:v>
      </x:c>
    </x:row>
    <x:row r="14" ht="62.099998474121094" customHeight="1">
      <x:c r="A14" s="2" t="str">
        <x:v>M-ONB-002-03</x:v>
      </x:c>
      <x:c r="B14" s="2" t="str">
        <x:v>온보딩</x:v>
      </x:c>
      <x:c r="C14" s="2" t="str">
        <x:v>설문3 좁은 도로·골목길</x:v>
      </x:c>
      <x:c r="D14" s="2" t="str">
        <x:v>사용자 ID, 문항3 원점수</x:v>
      </x:c>
      <x:c r="E14" s="2" t="str">
        <x:v>1~5 단일 선택</x:v>
      </x:c>
      <x:c r="F14" s="2" t="str">
        <x:v>선택값 유지</x:v>
      </x:c>
      <x:c r="G14" s="2" t="str">
        <x:v>사용자 + DB</x:v>
      </x:c>
      <x:c r="H14" s="2" t="str">
        <x:v>O</x:v>
      </x:c>
      <x:c r="I14" s="2" t="str">
        <x:v>운전부담설정</x:v>
      </x:c>
      <x:c r="J14" s="2" t="str">
        <x:v>3/5 Progress</x:v>
      </x:c>
      <x:c r="K14" s="2" t="str">
        <x:v>정수 1~5</x:v>
      </x:c>
      <x:c r="L14" s="7" t="str">
        <x:v>확정</x:v>
      </x:c>
      <x:c r="M14" s="2" t="str">
        <x:v>온보딩 설문</x:v>
      </x:c>
    </x:row>
    <x:row r="15" ht="62.099998474121094" customHeight="1">
      <x:c r="A15" s="2" t="str">
        <x:v>M-ONB-002-04</x:v>
      </x:c>
      <x:c r="B15" s="2" t="str">
        <x:v>온보딩</x:v>
      </x:c>
      <x:c r="C15" s="2" t="str">
        <x:v>설문4 좌회전·유턴</x:v>
      </x:c>
      <x:c r="D15" s="2" t="str">
        <x:v>사용자 ID, 문항4 원점수</x:v>
      </x:c>
      <x:c r="E15" s="2" t="str">
        <x:v>1~5 단일 선택</x:v>
      </x:c>
      <x:c r="F15" s="2" t="str">
        <x:v>선택값 유지</x:v>
      </x:c>
      <x:c r="G15" s="2" t="str">
        <x:v>사용자 + DB</x:v>
      </x:c>
      <x:c r="H15" s="2" t="str">
        <x:v>O</x:v>
      </x:c>
      <x:c r="I15" s="2" t="str">
        <x:v>운전부담설정</x:v>
      </x:c>
      <x:c r="J15" s="2" t="str">
        <x:v>4/5 Progress</x:v>
      </x:c>
      <x:c r="K15" s="2" t="str">
        <x:v>정수 1~5</x:v>
      </x:c>
      <x:c r="L15" s="7" t="str">
        <x:v>확정</x:v>
      </x:c>
      <x:c r="M15" s="2" t="str">
        <x:v>온보딩 설문</x:v>
      </x:c>
    </x:row>
    <x:row r="16" ht="62.099998474121094" customHeight="1">
      <x:c r="A16" s="2" t="str">
        <x:v>M-ONB-002-05</x:v>
      </x:c>
      <x:c r="B16" s="2" t="str">
        <x:v>온보딩</x:v>
      </x:c>
      <x:c r="C16" s="2" t="str">
        <x:v>설문5 터널·지하차도·교량</x:v>
      </x:c>
      <x:c r="D16" s="2" t="str">
        <x:v>사용자 ID, 문항5 원점수</x:v>
      </x:c>
      <x:c r="E16" s="2" t="str">
        <x:v>1~5 단일 선택</x:v>
      </x:c>
      <x:c r="F16" s="2" t="str">
        <x:v>선택값 유지</x:v>
      </x:c>
      <x:c r="G16" s="2" t="str">
        <x:v>사용자 + DB</x:v>
      </x:c>
      <x:c r="H16" s="2" t="str">
        <x:v>O</x:v>
      </x:c>
      <x:c r="I16" s="2" t="str">
        <x:v>운전부담설정</x:v>
      </x:c>
      <x:c r="J16" s="2" t="str">
        <x:v>5/5 Progress</x:v>
      </x:c>
      <x:c r="K16" s="2" t="str">
        <x:v>정수 1~5</x:v>
      </x:c>
      <x:c r="L16" s="7" t="str">
        <x:v>확정</x:v>
      </x:c>
      <x:c r="M16" s="2" t="str">
        <x:v>온보딩 설문</x:v>
      </x:c>
    </x:row>
    <x:row r="17" ht="62.099998474121094" customHeight="1">
      <x:c r="A17" s="2" t="str">
        <x:v>M-ONB-003</x:v>
      </x:c>
      <x:c r="B17" s="2" t="str">
        <x:v>온보딩</x:v>
      </x:c>
      <x:c r="C17" s="2" t="str">
        <x:v>설문 완료</x:v>
      </x:c>
      <x:c r="D17" s="2" t="str">
        <x:v>5개 원점수, 높은 부담 항목, 완료시각</x:v>
      </x:c>
      <x:c r="E17" s="2" t="str">
        <x:v>완료 CTA</x:v>
      </x:c>
      <x:c r="F17" s="2" t="str">
        <x:v>부담 항목 요약</x:v>
      </x:c>
      <x:c r="G17" s="2" t="str">
        <x:v>DB + 계산</x:v>
      </x:c>
      <x:c r="H17" s="2" t="str">
        <x:v>O/계산</x:v>
      </x:c>
      <x:c r="I17" s="2" t="str">
        <x:v>운전부담설정</x:v>
      </x:c>
      <x:c r="J17" s="2" t="str">
        <x:v>요약 문장</x:v>
      </x:c>
      <x:c r="K17" s="2" t="str">
        <x:v>5개 문항 모두 존재해야 완료</x:v>
      </x:c>
      <x:c r="L17" s="7" t="str">
        <x:v>확정+설계</x:v>
      </x:c>
      <x:c r="M17" s="2" t="str">
        <x:v>온보딩 완료</x:v>
      </x:c>
    </x:row>
    <x:row r="18" ht="62.099998474121094" customHeight="1">
      <x:c r="A18" s="2" t="str">
        <x:v>M-HOME-001</x:v>
      </x:c>
      <x:c r="B18" s="2" t="str">
        <x:v>홈</x:v>
      </x:c>
      <x:c r="C18" s="2" t="str">
        <x:v>홈 지도</x:v>
      </x:c>
      <x:c r="D18" s="2" t="str">
        <x:v>현재 GPS, 집/회사/저장 장소, 서비스영역, 지도 POI</x:v>
      </x:c>
      <x:c r="E18" s="2" t="str">
        <x:v>검색 진입, Quick 장소 선택</x:v>
      </x:c>
      <x:c r="F18" s="2" t="str">
        <x:v>지도·즐겨찾기·현재위치</x:v>
      </x:c>
      <x:c r="G18" s="2" t="str">
        <x:v>GPS + DB + Kakao Maps</x:v>
      </x:c>
      <x:c r="H18" s="2" t="str">
        <x:v>일부</x:v>
      </x:c>
      <x:c r="I18" s="2" t="str">
        <x:v>즐겨찾기, 서비스영역</x:v>
      </x:c>
      <x:c r="J18" s="2" t="str">
        <x:v>지도·POI·현재 GPS</x:v>
      </x:c>
      <x:c r="K18" s="2" t="str">
        <x:v>서비스영역 안내; 권한 거부 시 수동 입력</x:v>
      </x:c>
      <x:c r="L18" s="7" t="str">
        <x:v>확정</x:v>
      </x:c>
      <x:c r="M18" s="2" t="str">
        <x:v>홈</x:v>
      </x:c>
    </x:row>
    <x:row r="19" ht="62.099998474121094" customHeight="1">
      <x:c r="A19" s="2" t="str">
        <x:v>M-SRCH-001</x:v>
      </x:c>
      <x:c r="B19" s="2" t="str">
        <x:v>검색</x:v>
      </x:c>
      <x:c r="C19" s="2" t="str">
        <x:v>출발지/목적지 검색</x:v>
      </x:c>
      <x:c r="D19" s="2" t="str">
        <x:v>출발지, 검색어, Kakao 결과, 최근검색, 즐겨찾기, 거리</x:v>
      </x:c>
      <x:c r="E19" s="2" t="str">
        <x:v>검색어, 출발지/목적지 선택</x:v>
      </x:c>
      <x:c r="F19" s="2" t="str">
        <x:v>POI 목록·최근·즐겨찾기</x:v>
      </x:c>
      <x:c r="G19" s="2" t="str">
        <x:v>사용자 + Kakao + DB/로컬</x:v>
      </x:c>
      <x:c r="H19" s="2" t="str">
        <x:v>일부</x:v>
      </x:c>
      <x:c r="I19" s="2" t="str">
        <x:v>즐겨찾기, 최근검색(조건부)</x:v>
      </x:c>
      <x:c r="J19" s="2" t="str">
        <x:v>Kakao 검색결과</x:v>
      </x:c>
      <x:c r="K19" s="2" t="str">
        <x:v>디바운스; 결과 선택 전 좌표 확인</x:v>
      </x:c>
      <x:c r="L19" s="7" t="str">
        <x:v>확정+설계</x:v>
      </x:c>
      <x:c r="M19" s="2" t="str">
        <x:v>검색</x:v>
      </x:c>
    </x:row>
    <x:row r="20" ht="62.099998474121094" customHeight="1">
      <x:c r="A20" s="2" t="str">
        <x:v>M-SRCH-002</x:v>
      </x:c>
      <x:c r="B20" s="2" t="str">
        <x:v>검색</x:v>
      </x:c>
      <x:c r="C20" s="2" t="str">
        <x:v>검색 결과</x:v>
      </x:c>
      <x:c r="D20" s="2" t="str">
        <x:v>장소명, 주소, 좌표, 거리, 서비스지역 여부</x:v>
      </x:c>
      <x:c r="E20" s="2" t="str">
        <x:v>결과 선택</x:v>
      </x:c>
      <x:c r="F20" s="2" t="str">
        <x:v>정상/Empty/지역 밖</x:v>
      </x:c>
      <x:c r="G20" s="2" t="str">
        <x:v>Kakao + PostGIS</x:v>
      </x:c>
      <x:c r="H20" s="2" t="str">
        <x:v>대부분 X</x:v>
      </x:c>
      <x:c r="I20" s="2" t="str">
        <x:v>서비스영역</x:v>
      </x:c>
      <x:c r="J20" s="2" t="str">
        <x:v>검색결과 원본·거리</x:v>
      </x:c>
      <x:c r="K20" s="2" t="str">
        <x:v>ST_Covers 기반 경계 포함 판정 권장</x:v>
      </x:c>
      <x:c r="L20" s="7" t="str">
        <x:v>확정+설계</x:v>
      </x:c>
      <x:c r="M20" s="2" t="str">
        <x:v>검색 결과</x:v>
      </x:c>
    </x:row>
    <x:row r="21" ht="62.099998474121094" customHeight="1">
      <x:c r="A21" s="2" t="str">
        <x:v>M-ROUTE-001</x:v>
      </x:c>
      <x:c r="B21" s="2" t="str">
        <x:v>경로</x:v>
      </x:c>
      <x:c r="C21" s="2" t="str">
        <x:v>목적지 확인</x:v>
      </x:c>
      <x:c r="D21" s="2" t="str">
        <x:v>사용자·출발/목적지 명·주소·좌표·최대우회·지역판정</x:v>
      </x:c>
      <x:c r="E21" s="2" t="str">
        <x:v>10/20/30/60분 선택, 안심경로 찾기</x:v>
      </x:c>
      <x:c r="F21" s="2" t="str">
        <x:v>경로 요청 ID·처리 시작</x:v>
      </x:c>
      <x:c r="G21" s="2" t="str">
        <x:v>GPS/Kakao + 자체 Backend</x:v>
      </x:c>
      <x:c r="H21" s="2" t="str">
        <x:v>O</x:v>
      </x:c>
      <x:c r="I21" s="2" t="str">
        <x:v>경로요청</x:v>
      </x:c>
      <x:c r="J21" s="2" t="str">
        <x:v>지도 UI</x:v>
      </x:c>
      <x:c r="K21" s="2" t="str">
        <x:v>우회시간 허용값; 출발·목적지 강남구 판정</x:v>
      </x:c>
      <x:c r="L21" s="7" t="str">
        <x:v>확정</x:v>
      </x:c>
      <x:c r="M21" s="2" t="str">
        <x:v>목적지 확인</x:v>
      </x:c>
    </x:row>
    <x:row r="22" ht="62.099998474121094" customHeight="1">
      <x:c r="A22" s="2" t="str">
        <x:v>M-ROUTE-002</x:v>
      </x:c>
      <x:c r="B22" s="2" t="str">
        <x:v>경로</x:v>
      </x:c>
      <x:c r="C22" s="2" t="str">
        <x:v>경로 옵션</x:v>
      </x:c>
      <x:c r="D22" s="2" t="str">
        <x:v>사용 안 함</x:v>
      </x:c>
      <x:c r="E22" s="2" t="str">
        <x:v>-</x:v>
      </x:c>
      <x:c r="F22" s="2" t="str">
        <x:v>-</x:v>
      </x:c>
      <x:c r="G22" s="2" t="str">
        <x:v>-</x:v>
      </x:c>
      <x:c r="H22" s="2" t="str">
        <x:v>X</x:v>
      </x:c>
      <x:c r="I22" s="2" t="str">
        <x:v>-</x:v>
      </x:c>
      <x:c r="J22" s="2" t="str">
        <x:v>-</x:v>
      </x:c>
      <x:c r="K22" s="2" t="str">
        <x:v>화면·API·테이블 생성 금지</x:v>
      </x:c>
      <x:c r="L22" s="8" t="str">
        <x:v>제외 확정</x:v>
      </x:c>
      <x:c r="M22" s="2" t="str">
        <x:v>삭제</x:v>
      </x:c>
    </x:row>
    <x:row r="23" ht="62.099998474121094" customHeight="1">
      <x:c r="A23" s="2" t="str">
        <x:v>M-ROUTE-003</x:v>
      </x:c>
      <x:c r="B23" s="2" t="str">
        <x:v>경로</x:v>
      </x:c>
      <x:c r="C23" s="2" t="str">
        <x:v>경로 계산</x:v>
      </x:c>
      <x:c r="D23" s="2" t="str">
        <x:v>요청 ID, 상태, 시작·경과시간, 실패코드·메시지</x:v>
      </x:c>
      <x:c r="E23" s="2" t="str">
        <x:v>재시도</x:v>
      </x:c>
      <x:c r="F23" s="2" t="str">
        <x:v>Loading/지연/실패/성공 분기</x:v>
      </x:c>
      <x:c r="G23" s="2" t="str">
        <x:v>자체 Backend 경로엔진</x:v>
      </x:c>
      <x:c r="H23" s="2" t="str">
        <x:v>O/일부</x:v>
      </x:c>
      <x:c r="I23" s="2" t="str">
        <x:v>경로요청</x:v>
      </x:c>
      <x:c r="J23" s="2" t="str">
        <x:v>Spinner·경과시간</x:v>
      </x:c>
      <x:c r="K23" s="2" t="str">
        <x:v>10초 초과 안내; 재시도도 별도 요청 로그 권장</x:v>
      </x:c>
      <x:c r="L23" s="9" t="str">
        <x:v>확정+구현결정</x:v>
      </x:c>
      <x:c r="M23" s="2" t="str">
        <x:v>경로 계산</x:v>
      </x:c>
    </x:row>
    <x:row r="24" ht="62.099998474121094" customHeight="1">
      <x:c r="A24" s="2" t="str">
        <x:v>M-ROUTE-004</x:v>
      </x:c>
      <x:c r="B24" s="2" t="str">
        <x:v>경로</x:v>
      </x:c>
      <x:c r="C24" s="2" t="str">
        <x:v>경로 비교</x:v>
      </x:c>
      <x:c r="D24" s="2" t="str">
        <x:v>요청 ID, 3종 후보, 시간, 거리, 특징, 차이, 이유, 선형경로, 선택 여부</x:v>
      </x:c>
      <x:c r="E24" s="2" t="str">
        <x:v>경로 선택, 상세/안내 CTA</x:v>
      </x:c>
      <x:c r="F24" s="2" t="str">
        <x:v>3종 후보 비교</x:v>
      </x:c>
      <x:c r="G24" s="2" t="str">
        <x:v>경로엔진 + DB</x:v>
      </x:c>
      <x:c r="H24" s="2" t="str">
        <x:v>O</x:v>
      </x:c>
      <x:c r="I24" s="2" t="str">
        <x:v>경로요청, 경로후보</x:v>
      </x:c>
      <x:c r="J24" s="2" t="str">
        <x:v>선택 Border</x:v>
      </x:c>
      <x:c r="K24" s="2" t="str">
        <x:v>route_type 3종; 추천 이유는 설명형</x:v>
      </x:c>
      <x:c r="L24" s="7" t="str">
        <x:v>확정</x:v>
      </x:c>
      <x:c r="M24" s="2" t="str">
        <x:v>경로 비교</x:v>
      </x:c>
    </x:row>
    <x:row r="25" ht="62.099998474121094" customHeight="1">
      <x:c r="A25" s="2" t="str">
        <x:v>M-ROUTE-005</x:v>
      </x:c>
      <x:c r="B25" s="2" t="str">
        <x:v>경로</x:v>
      </x:c>
      <x:c r="C25" s="2" t="str">
        <x:v>경로 상세</x:v>
      </x:c>
      <x:c r="D25" s="2" t="str">
        <x:v>선택 후보, 전체 경로, 시간, 거리, 특징, 주의요소, 구간 순서</x:v>
      </x:c>
      <x:c r="E25" s="2" t="str">
        <x:v>안내 시작 CTA</x:v>
      </x:c>
      <x:c r="F25" s="2" t="str">
        <x:v>경로 상세</x:v>
      </x:c>
      <x:c r="G25" s="2" t="str">
        <x:v>경로엔진 + 도로데이터</x:v>
      </x:c>
      <x:c r="H25" s="2" t="str">
        <x:v>O/일부</x:v>
      </x:c>
      <x:c r="I25" s="2" t="str">
        <x:v>경로후보, 후보경로구간</x:v>
      </x:c>
      <x:c r="J25" s="2" t="str">
        <x:v>지도 렌더링</x:v>
      </x:c>
      <x:c r="K25" s="2" t="str">
        <x:v>후보가 해당 요청 소속인지 검증</x:v>
      </x:c>
      <x:c r="L25" s="7" t="str">
        <x:v>확정+설계</x:v>
      </x:c>
      <x:c r="M25" s="2" t="str">
        <x:v>경로 상세</x:v>
      </x:c>
    </x:row>
    <x:row r="26" ht="62.099998474121094" customHeight="1">
      <x:c r="A26" s="2" t="str">
        <x:v>M-NAVI-001</x:v>
      </x:c>
      <x:c r="B26" s="2" t="str">
        <x:v>내비</x:v>
      </x:c>
      <x:c r="C26" s="2" t="str">
        <x:v>실제 길안내</x:v>
      </x:c>
      <x:c r="D26" s="2" t="str">
        <x:v>선택경로, 현재 GPS, 다음 회전, 도로명, 차선, 남은시간·거리, 주의구간</x:v>
      </x:c>
      <x:c r="E26" s="2" t="str">
        <x:v>주행·종료</x:v>
      </x:c>
      <x:c r="F26" s="2" t="str">
        <x:v>실시간 길안내</x:v>
      </x:c>
      <x:c r="G26" s="2" t="str">
        <x:v>GPS + 저장 경로 + Kakao Maps</x:v>
      </x:c>
      <x:c r="H26" s="2" t="str">
        <x:v>대부분 Runtime</x:v>
      </x:c>
      <x:c r="I26" s="2" t="str">
        <x:v>경로후보, 후보경로구간, 도로링크</x:v>
      </x:c>
      <x:c r="J26" s="2" t="str">
        <x:v>현재 GPS·남은시간/거리</x:v>
      </x:c>
      <x:c r="K26" s="2" t="str">
        <x:v>위치권한·경로 유효성; 과도한 위험경고 금지</x:v>
      </x:c>
      <x:c r="L26" s="7" t="str">
        <x:v>확정</x:v>
      </x:c>
      <x:c r="M26" s="2" t="str">
        <x:v>Navigation</x:v>
      </x:c>
    </x:row>
    <x:row r="27" ht="62.099998474121094" customHeight="1">
      <x:c r="A27" s="2" t="str">
        <x:v>M-SAVE-001</x:v>
      </x:c>
      <x:c r="B27" s="2" t="str">
        <x:v>저장</x:v>
      </x:c>
      <x:c r="C27" s="2" t="str">
        <x:v>즐겨찾기</x:v>
      </x:c>
      <x:c r="D27" s="2" t="str">
        <x:v>사용자, 장소명, 별칭, 주소, 좌표, 장소구분</x:v>
      </x:c>
      <x:c r="E27" s="2" t="str">
        <x:v>추가·이름변경·삭제·경로찾기</x:v>
      </x:c>
      <x:c r="F27" s="2" t="str">
        <x:v>저장 장소 목록</x:v>
      </x:c>
      <x:c r="G27" s="2" t="str">
        <x:v>사용자 + Kakao + DB</x:v>
      </x:c>
      <x:c r="H27" s="2" t="str">
        <x:v>O</x:v>
      </x:c>
      <x:c r="I27" s="2" t="str">
        <x:v>즐겨찾기</x:v>
      </x:c>
      <x:c r="J27" s="2" t="str">
        <x:v>-</x:v>
      </x:c>
      <x:c r="K27" s="2" t="str">
        <x:v>사용자당 최대 5개; home/work 각 1개</x:v>
      </x:c>
      <x:c r="L27" s="7" t="str">
        <x:v>확정</x:v>
      </x:c>
      <x:c r="M27" s="2" t="str">
        <x:v>즐겨찾기</x:v>
      </x:c>
    </x:row>
    <x:row r="28" ht="62.099998474121094" customHeight="1">
      <x:c r="A28" s="2" t="str">
        <x:v>M-MY-001</x:v>
      </x:c>
      <x:c r="B28" s="2" t="str">
        <x:v>MY</x:v>
      </x:c>
      <x:c r="C28" s="2" t="str">
        <x:v>MY</x:v>
      </x:c>
      <x:c r="D28" s="2" t="str">
        <x:v>사용자 ID, 닉네임, 설문 완료 여부</x:v>
      </x:c>
      <x:c r="E28" s="2" t="str">
        <x:v>메뉴 선택</x:v>
      </x:c>
      <x:c r="F28" s="2" t="str">
        <x:v>각 하위 화면 진입</x:v>
      </x:c>
      <x:c r="G28" s="2" t="str">
        <x:v>DB</x:v>
      </x:c>
      <x:c r="H28" s="2" t="str">
        <x:v>O</x:v>
      </x:c>
      <x:c r="I28" s="2" t="str">
        <x:v>회원, 운전부담설정</x:v>
      </x:c>
      <x:c r="J28" s="2" t="str">
        <x:v>메뉴 UI</x:v>
      </x:c>
      <x:c r="K28" s="2" t="str">
        <x:v>본인 데이터만 조회</x:v>
      </x:c>
      <x:c r="L28" s="7" t="str">
        <x:v>확정</x:v>
      </x:c>
      <x:c r="M28" s="2" t="str">
        <x:v>MY</x:v>
      </x:c>
    </x:row>
    <x:row r="29" ht="62.099998474121094" customHeight="1">
      <x:c r="A29" s="2" t="str">
        <x:v>M-MY-002</x:v>
      </x:c>
      <x:c r="B29" s="2" t="str">
        <x:v>MY</x:v>
      </x:c>
      <x:c r="C29" s="2" t="str">
        <x:v>프로필 관리</x:v>
      </x:c>
      <x:c r="D29" s="2" t="str">
        <x:v>아이디, 이메일, 닉네임, 인증수단, 계정상태</x:v>
      </x:c>
      <x:c r="E29" s="2" t="str">
        <x:v>닉네임, 현재/새 비밀번호, 탈퇴 확인</x:v>
      </x:c>
      <x:c r="F29" s="2" t="str">
        <x:v>저장·탈퇴 결과</x:v>
      </x:c>
      <x:c r="G29" s="2" t="str">
        <x:v>자체 Backend + DB</x:v>
      </x:c>
      <x:c r="H29" s="2" t="str">
        <x:v>O/일부</x:v>
      </x:c>
      <x:c r="I29" s="2" t="str">
        <x:v>회원, 인증계정, 사용자세션</x:v>
      </x:c>
      <x:c r="J29" s="2" t="str">
        <x:v>비밀번호 원문</x:v>
      </x:c>
      <x:c r="K29" s="2" t="str">
        <x:v>닉네임 ^[가-힣a-zA-Z0-9]{2,10}$; Local 비밀번호만 변경; 탈퇴 즉시 is_active=false + withdrawn_at 기록 + 세션 폐기; 30일 보관 후 사용자 연관 데이터 hard delete</x:v>
      </x:c>
      <x:c r="L29" s="7" t="str">
        <x:v>확정+설계</x:v>
      </x:c>
      <x:c r="M29" s="2" t="str">
        <x:v>프로필</x:v>
      </x:c>
    </x:row>
    <x:row r="30" ht="62.099998474121094" customHeight="1">
      <x:c r="A30" s="2" t="str">
        <x:v>M-SUPPORT-001</x:v>
      </x:c>
      <x:c r="B30" s="2" t="str">
        <x:v>지원</x:v>
      </x:c>
      <x:c r="C30" s="2" t="str">
        <x:v>도움말/지원</x:v>
      </x:c>
      <x:c r="D30" s="2" t="str">
        <x:v>지원 메뉴 목록</x:v>
      </x:c>
      <x:c r="E30" s="2" t="str">
        <x:v>메뉴 선택</x:v>
      </x:c>
      <x:c r="F30" s="2" t="str">
        <x:v>공지/문의/약관 진입</x:v>
      </x:c>
      <x:c r="G30" s="2" t="str">
        <x:v>앱 정적 메뉴</x:v>
      </x:c>
      <x:c r="H30" s="2" t="str">
        <x:v>X</x:v>
      </x:c>
      <x:c r="I30" s="2" t="str">
        <x:v>-</x:v>
      </x:c>
      <x:c r="J30" s="2" t="str">
        <x:v>메뉴 UI</x:v>
      </x:c>
      <x:c r="K30" s="2" t="str">
        <x:v>신고 진입점이 없어야 함</x:v>
      </x:c>
      <x:c r="L30" s="7" t="str">
        <x:v>확정</x:v>
      </x:c>
      <x:c r="M30" s="2" t="str">
        <x:v>지원</x:v>
      </x:c>
    </x:row>
    <x:row r="31" ht="62.099998474121094" customHeight="1">
      <x:c r="A31" s="2" t="str">
        <x:v>M-SUPPORT-004</x:v>
      </x:c>
      <x:c r="B31" s="2" t="str">
        <x:v>지원</x:v>
      </x:c>
      <x:c r="C31" s="2" t="str">
        <x:v>공지사항</x:v>
      </x:c>
      <x:c r="D31" s="2" t="str">
        <x:v>공지 ID, 제목, 게시일</x:v>
      </x:c>
      <x:c r="E31" s="2" t="str">
        <x:v>목록 선택</x:v>
      </x:c>
      <x:c r="F31" s="2" t="str">
        <x:v>공지 목록</x:v>
      </x:c>
      <x:c r="G31" s="2" t="str">
        <x:v>DB</x:v>
      </x:c>
      <x:c r="H31" s="2" t="str">
        <x:v>O</x:v>
      </x:c>
      <x:c r="I31" s="2" t="str">
        <x:v>공지</x:v>
      </x:c>
      <x:c r="J31" s="2" t="str">
        <x:v>-</x:v>
      </x:c>
      <x:c r="K31" s="2" t="str">
        <x:v>is_published=true; 최신순</x:v>
      </x:c>
      <x:c r="L31" s="2" t="str">
        <x:v>설계권장</x:v>
      </x:c>
      <x:c r="M31" s="2" t="str">
        <x:v>지원 메뉴</x:v>
      </x:c>
    </x:row>
    <x:row r="32" ht="62.099998474121094" customHeight="1">
      <x:c r="A32" s="2" t="str">
        <x:v>M-SUPPORT-005</x:v>
      </x:c>
      <x:c r="B32" s="2" t="str">
        <x:v>지원</x:v>
      </x:c>
      <x:c r="C32" s="2" t="str">
        <x:v>공지사항 상세</x:v>
      </x:c>
      <x:c r="D32" s="2" t="str">
        <x:v>공지 ID, 제목, 내용, 게시일</x:v>
      </x:c>
      <x:c r="E32" s="2" t="str">
        <x:v>-</x:v>
      </x:c>
      <x:c r="F32" s="2" t="str">
        <x:v>공지 상세</x:v>
      </x:c>
      <x:c r="G32" s="2" t="str">
        <x:v>DB</x:v>
      </x:c>
      <x:c r="H32" s="2" t="str">
        <x:v>O</x:v>
      </x:c>
      <x:c r="I32" s="2" t="str">
        <x:v>공지</x:v>
      </x:c>
      <x:c r="J32" s="2" t="str">
        <x:v>-</x:v>
      </x:c>
      <x:c r="K32" s="2" t="str">
        <x:v>게시 상태·게시일 확인</x:v>
      </x:c>
      <x:c r="L32" s="2" t="str">
        <x:v>설계권장</x:v>
      </x:c>
      <x:c r="M32" s="2" t="str">
        <x:v>지원 메뉴</x:v>
      </x:c>
    </x:row>
    <x:row r="33" ht="62.099998474121094" customHeight="1">
      <x:c r="A33" s="2" t="str">
        <x:v>M-SUPPORT-006</x:v>
      </x:c>
      <x:c r="B33" s="2" t="str">
        <x:v>지원</x:v>
      </x:c>
      <x:c r="C33" s="2" t="str">
        <x:v>문의하기</x:v>
      </x:c>
      <x:c r="D33" s="2" t="str">
        <x:v>사용자 ID, 카테고리, 제목, 내용, 접수상태, 작성일</x:v>
      </x:c>
      <x:c r="E33" s="2" t="str">
        <x:v>카테고리, 제목, 내용</x:v>
      </x:c>
      <x:c r="F33" s="2" t="str">
        <x:v>접수 결과</x:v>
      </x:c>
      <x:c r="G33" s="2" t="str">
        <x:v>사용자 + DB</x:v>
      </x:c>
      <x:c r="H33" s="2" t="str">
        <x:v>O</x:v>
      </x:c>
      <x:c r="I33" s="2" t="str">
        <x:v>문의</x:v>
      </x:c>
      <x:c r="J33" s="2" t="str">
        <x:v>-</x:v>
      </x:c>
      <x:c r="K33" s="2" t="str">
        <x:v>로그인 사용자; 입력 길이 제한; 초기상태 received</x:v>
      </x:c>
      <x:c r="L33" s="2" t="str">
        <x:v>설계권장</x:v>
      </x:c>
      <x:c r="M33" s="2" t="str">
        <x:v>지원 메뉴</x:v>
      </x:c>
    </x:row>
    <x:row r="34" ht="62.099998474121094" customHeight="1">
      <x:c r="A34" s="2" t="str">
        <x:v>M-SUPPORT-007</x:v>
      </x:c>
      <x:c r="B34" s="2" t="str">
        <x:v>지원</x:v>
      </x:c>
      <x:c r="C34" s="2" t="str">
        <x:v>약관 및 개인정보</x:v>
      </x:c>
      <x:c r="D34" s="2" t="str">
        <x:v>약관 유형, 제목, 본문</x:v>
      </x:c>
      <x:c r="E34" s="2" t="str">
        <x:v>약관 선택</x:v>
      </x:c>
      <x:c r="F34" s="2" t="str">
        <x:v>Frontend 하드코딩 약관 상세</x:v>
      </x:c>
      <x:c r="G34" s="2" t="str">
        <x:v>Frontend 정적 데이터</x:v>
      </x:c>
      <x:c r="H34" s="2" t="str">
        <x:v>X</x:v>
      </x:c>
      <x:c r="I34" s="2" t="str">
        <x:v>-</x:v>
      </x:c>
      <x:c r="J34" s="2" t="str">
        <x:v>약관 본문 전체</x:v>
      </x:c>
      <x:c r="K34" s="2" t="str">
        <x:v>DB 조회 없음; Frontend 코드/정적 파일에서 관리</x:v>
      </x:c>
      <x:c r="L34" s="7" t="str">
        <x:v>확정+설계</x:v>
      </x:c>
      <x:c r="M34" s="2" t="str">
        <x:v>지원 메뉴</x:v>
      </x:c>
    </x:row>
    <x:row r="35" ht="62.099998474121094" customHeight="1">
      <x:c r="A35" s="2" t="str">
        <x:v>A-AUTH-001</x:v>
      </x:c>
      <x:c r="B35" s="2" t="str">
        <x:v>관리자 인증</x:v>
      </x:c>
      <x:c r="C35" s="2" t="str">
        <x:v>관리자 로그인</x:v>
      </x:c>
      <x:c r="D35" s="2" t="str">
        <x:v>관리자 이메일, 권한, 활성상태, 세션</x:v>
      </x:c>
      <x:c r="E35" s="2" t="str">
        <x:v>이메일, 비밀번호</x:v>
      </x:c>
      <x:c r="F35" s="2" t="str">
        <x:v>로그인 성공/실패</x:v>
      </x:c>
      <x:c r="G35" s="2" t="str">
        <x:v>자체 Backend + DB</x:v>
      </x:c>
      <x:c r="H35" s="2" t="str">
        <x:v>일부</x:v>
      </x:c>
      <x:c r="I35" s="2" t="str">
        <x:v>관리자, 관리자세션</x:v>
      </x:c>
      <x:c r="J35" s="2" t="str">
        <x:v>비밀번호 원문</x:v>
      </x:c>
      <x:c r="K35" s="2" t="str">
        <x:v>활성 관리자만 로그인; 일반 사용자 인증과 분리</x:v>
      </x:c>
      <x:c r="L35" s="7" t="str">
        <x:v>확정</x:v>
      </x:c>
      <x:c r="M35" s="2" t="str">
        <x:v>관리자 로그인</x:v>
      </x:c>
    </x:row>
    <x:row r="36" ht="62.099998474121094" customHeight="1">
      <x:c r="A36" s="2" t="str">
        <x:v>A-DASH-001</x:v>
      </x:c>
      <x:c r="B36" s="2" t="str">
        <x:v>관리자 대시보드</x:v>
      </x:c>
      <x:c r="C36" s="2" t="str">
        <x:v>운영 대시보드</x:v>
      </x:c>
      <x:c r="D36" s="2" t="str">
        <x:v>전체회원수, 최신갱신일, 전체·실패 경로검색수, 오늘 2시간대별·연간 월별 요청수</x:v>
      </x:c>
      <x:c r="E36" s="2" t="str">
        <x:v>오늘/연간 그래프 선택</x:v>
      </x:c>
      <x:c r="F36" s="2" t="str">
        <x:v>KPI·그래프</x:v>
      </x:c>
      <x:c r="G36" s="2" t="str">
        <x:v>DB 집계</x:v>
      </x:c>
      <x:c r="H36" s="2" t="str">
        <x:v>원본 O/집계 X</x:v>
      </x:c>
      <x:c r="I36" s="2" t="str">
        <x:v>회원, 경로요청, 데이터갱신</x:v>
      </x:c>
      <x:c r="J36" s="2" t="str">
        <x:v>KPI·그래프 집계값</x:v>
      </x:c>
      <x:c r="K36" s="2" t="str">
        <x:v>오늘=24시간 2시간 단위; 연간=1~12월</x:v>
      </x:c>
      <x:c r="L36" s="7" t="str">
        <x:v>확정</x:v>
      </x:c>
      <x:c r="M36" s="2" t="str">
        <x:v>관리자 33p</x:v>
      </x:c>
    </x:row>
    <x:row r="37" ht="62.099998474121094" customHeight="1">
      <x:c r="A37" s="2" t="str">
        <x:v>A-MEMBER-001</x:v>
      </x:c>
      <x:c r="B37" s="2" t="str">
        <x:v>관리자 회원</x:v>
      </x:c>
      <x:c r="C37" s="2" t="str">
        <x:v>회원 관리</x:v>
      </x:c>
      <x:c r="D37" s="2" t="str">
        <x:v>사용자 ID, 아이디, 가입일, 가입경로, 계정상태</x:v>
      </x:c>
      <x:c r="E37" s="2" t="str">
        <x:v>검색어·상태·가입경로 필터</x:v>
      </x:c>
      <x:c r="F37" s="2" t="str">
        <x:v>회원 목록</x:v>
      </x:c>
      <x:c r="G37" s="2" t="str">
        <x:v>DB</x:v>
      </x:c>
      <x:c r="H37" s="2" t="str">
        <x:v>O</x:v>
      </x:c>
      <x:c r="I37" s="2" t="str">
        <x:v>회원, 인증계정</x:v>
      </x:c>
      <x:c r="J37" s="2" t="str">
        <x:v>-</x:v>
      </x:c>
      <x:c r="K37" s="2" t="str">
        <x:v>아이디/이메일 검색; provider 구분</x:v>
      </x:c>
      <x:c r="L37" s="7" t="str">
        <x:v>확정</x:v>
      </x:c>
      <x:c r="M37" s="2" t="str">
        <x:v>관리자 33p</x:v>
      </x:c>
    </x:row>
    <x:row r="38" ht="62.099998474121094" customHeight="1">
      <x:c r="A38" s="2" t="str">
        <x:v>A-MEMBER-002</x:v>
      </x:c>
      <x:c r="B38" s="2" t="str">
        <x:v>관리자 회원</x:v>
      </x:c>
      <x:c r="C38" s="2" t="str">
        <x:v>회원 상세</x:v>
      </x:c>
      <x:c r="D38" s="2" t="str">
        <x:v>닉네임, 아이디, 이메일, 가입일, 가입경로, 계정상태, 경로요청수</x:v>
      </x:c>
      <x:c r="E38" s="2" t="str">
        <x:v>-</x:v>
      </x:c>
      <x:c r="F38" s="2" t="str">
        <x:v>회원 상세·요청수 집계</x:v>
      </x:c>
      <x:c r="G38" s="2" t="str">
        <x:v>DB + 집계</x:v>
      </x:c>
      <x:c r="H38" s="2" t="str">
        <x:v>원본 O</x:v>
      </x:c>
      <x:c r="I38" s="2" t="str">
        <x:v>회원, 인증계정, 경로요청</x:v>
      </x:c>
      <x:c r="J38" s="2" t="str">
        <x:v>경로요청수</x:v>
      </x:c>
      <x:c r="K38" s="2" t="str">
        <x:v>개인정보 최소 노출; 신고 데이터 참조 금지</x:v>
      </x:c>
      <x:c r="L38" s="7" t="str">
        <x:v>확정</x:v>
      </x:c>
      <x:c r="M38" s="2" t="str">
        <x:v>관리자 33p</x:v>
      </x:c>
    </x:row>
    <x:row r="39" ht="62.099998474121094" customHeight="1">
      <x:c r="A39" s="2" t="str">
        <x:v>A-DATA-001</x:v>
      </x:c>
      <x:c r="B39" s="2" t="str">
        <x:v>관리자 데이터</x:v>
      </x:c>
      <x:c r="C39" s="2" t="str">
        <x:v>데이터 관리</x:v>
      </x:c>
      <x:c r="D39" s="2" t="str">
        <x:v>데이터 종류, 갱신일, 대상·처리·성공·실패 건수, 상태, 경로 성공/실패 내역</x:v>
      </x:c>
      <x:c r="E39" s="2" t="str">
        <x:v>데이터 종류·상태·기간 필터, 상세 선택</x:v>
      </x:c>
      <x:c r="F39" s="2" t="str">
        <x:v>갱신 현황·경로 로그 목록</x:v>
      </x:c>
      <x:c r="G39" s="2" t="str">
        <x:v>ETL Backend + DB</x:v>
      </x:c>
      <x:c r="H39" s="2" t="str">
        <x:v>O</x:v>
      </x:c>
      <x:c r="I39" s="2" t="str">
        <x:v>데이터갱신, 경로요청</x:v>
      </x:c>
      <x:c r="J39" s="2" t="str">
        <x:v>-</x:v>
      </x:c>
      <x:c r="K39" s="2" t="str">
        <x:v>처리=성공+실패; 완료시각 기준 최신값</x:v>
      </x:c>
      <x:c r="L39" s="7" t="str">
        <x:v>확정+설계</x:v>
      </x:c>
      <x:c r="M39" s="2" t="str">
        <x:v>관리자 33p</x:v>
      </x:c>
    </x:row>
    <x:row r="40" ht="62.099998474121094" customHeight="1">
      <x:c r="A40" s="2" t="str">
        <x:v>A-ROUTE-001</x:v>
      </x:c>
      <x:c r="B40" s="2" t="str">
        <x:v>관리자 데이터</x:v>
      </x:c>
      <x:c r="C40" s="2" t="str">
        <x:v>경로 검색 내역</x:v>
      </x:c>
      <x:c r="D40" s="2" t="str">
        <x:v>사용자 ID, 출발지, 목적지, 요청일시, 최대우회, 상태</x:v>
      </x:c>
      <x:c r="E40" s="2" t="str">
        <x:v>기간·사용자·검색어 필터</x:v>
      </x:c>
      <x:c r="F40" s="2" t="str">
        <x:v>성공 요청 목록</x:v>
      </x:c>
      <x:c r="G40" s="2" t="str">
        <x:v>DB</x:v>
      </x:c>
      <x:c r="H40" s="2" t="str">
        <x:v>O</x:v>
      </x:c>
      <x:c r="I40" s="2" t="str">
        <x:v>경로요청</x:v>
      </x:c>
      <x:c r="J40" s="2" t="str">
        <x:v>-</x:v>
      </x:c>
      <x:c r="K40" s="2" t="str">
        <x:v>status=success</x:v>
      </x:c>
      <x:c r="L40" s="7" t="str">
        <x:v>확정</x:v>
      </x:c>
      <x:c r="M40" s="2" t="str">
        <x:v>관리자 33p</x:v>
      </x:c>
    </x:row>
    <x:row r="41" ht="62.099998474121094" customHeight="1">
      <x:c r="A41" s="2" t="str">
        <x:v>A-ROUTE-002</x:v>
      </x:c>
      <x:c r="B41" s="2" t="str">
        <x:v>관리자 데이터</x:v>
      </x:c>
      <x:c r="C41" s="2" t="str">
        <x:v>경로 검색 상세</x:v>
      </x:c>
      <x:c r="D41" s="2" t="str">
        <x:v>사용자, 출발/목적지와 좌표, 요청시각, 우회시간, 후보3종, 선택후보</x:v>
      </x:c>
      <x:c r="E41" s="2" t="str">
        <x:v>-</x:v>
      </x:c>
      <x:c r="F41" s="2" t="str">
        <x:v>성공 요청 상세</x:v>
      </x:c>
      <x:c r="G41" s="2" t="str">
        <x:v>DB</x:v>
      </x:c>
      <x:c r="H41" s="2" t="str">
        <x:v>O</x:v>
      </x:c>
      <x:c r="I41" s="2" t="str">
        <x:v>경로요청, 경로후보, 후보경로구간</x:v>
      </x:c>
      <x:c r="J41" s="2" t="str">
        <x:v>지도 렌더링</x:v>
      </x:c>
      <x:c r="K41" s="2" t="str">
        <x:v>후보가 요청 소속인지; is_selected 최대 1건</x:v>
      </x:c>
      <x:c r="L41" s="7" t="str">
        <x:v>확정+설계</x:v>
      </x:c>
      <x:c r="M41" s="2" t="str">
        <x:v>관리자 33p</x:v>
      </x:c>
    </x:row>
    <x:row r="42" ht="62.099998474121094" customHeight="1">
      <x:c r="A42" s="2" t="str">
        <x:v>A-ROUTE-003</x:v>
      </x:c>
      <x:c r="B42" s="2" t="str">
        <x:v>관리자 데이터</x:v>
      </x:c>
      <x:c r="C42" s="2" t="str">
        <x:v>실패 경로 검색 내역</x:v>
      </x:c>
      <x:c r="D42" s="2" t="str">
        <x:v>사용자 ID, 출발지, 목적지, 요청일시, 실패코드·메시지</x:v>
      </x:c>
      <x:c r="E42" s="2" t="str">
        <x:v>기간·원인·사용자 필터</x:v>
      </x:c>
      <x:c r="F42" s="2" t="str">
        <x:v>실패 요청 목록</x:v>
      </x:c>
      <x:c r="G42" s="2" t="str">
        <x:v>DB</x:v>
      </x:c>
      <x:c r="H42" s="2" t="str">
        <x:v>O</x:v>
      </x:c>
      <x:c r="I42" s="2" t="str">
        <x:v>경로요청</x:v>
      </x:c>
      <x:c r="J42" s="2" t="str">
        <x:v>-</x:v>
      </x:c>
      <x:c r="K42" s="2" t="str">
        <x:v>status=failed; 원인 필수</x:v>
      </x:c>
      <x:c r="L42" s="7" t="str">
        <x:v>확정</x:v>
      </x:c>
      <x:c r="M42" s="2" t="str">
        <x:v>관리자 33p</x:v>
      </x:c>
    </x:row>
    <x:row r="43" ht="62.099998474121094" customHeight="1">
      <x:c r="A43" s="2" t="str">
        <x:v>A-ROUTE-004</x:v>
      </x:c>
      <x:c r="B43" s="2" t="str">
        <x:v>관리자 데이터</x:v>
      </x:c>
      <x:c r="C43" s="2" t="str">
        <x:v>실패 경로 검색 상세</x:v>
      </x:c>
      <x:c r="D43" s="2" t="str">
        <x:v>출발/목적지와 좌표, 실패원인, 동일입력 요청횟수</x:v>
      </x:c>
      <x:c r="E43" s="2" t="str">
        <x:v>-</x:v>
      </x:c>
      <x:c r="F43" s="2" t="str">
        <x:v>실패 상세·반복수</x:v>
      </x:c>
      <x:c r="G43" s="2" t="str">
        <x:v>DB + 집계</x:v>
      </x:c>
      <x:c r="H43" s="2" t="str">
        <x:v>원본 O/집계 X</x:v>
      </x:c>
      <x:c r="I43" s="2" t="str">
        <x:v>경로요청</x:v>
      </x:c>
      <x:c r="J43" s="2" t="str">
        <x:v>동일입력 집계값</x:v>
      </x:c>
      <x:c r="K43" s="2" t="str">
        <x:v>정규화 좌표+옵션 hash로 fingerprint 정의</x:v>
      </x:c>
      <x:c r="L43" s="7" t="str">
        <x:v>확정+설계</x:v>
      </x:c>
      <x:c r="M43" s="2" t="str">
        <x:v>관리자 33p</x:v>
      </x:c>
    </x:row>
    <x:row r="44" ht="62.099998474121094" customHeight="1">
      <x:c r="A44" s="2" t="str">
        <x:v>A-ADMIN-001</x:v>
      </x:c>
      <x:c r="B44" s="2" t="str">
        <x:v>관리자 계정</x:v>
      </x:c>
      <x:c r="C44" s="2" t="str">
        <x:v>관리자 계정 관리</x:v>
      </x:c>
      <x:c r="D44" s="2" t="str">
        <x:v>관리자 ID, 이메일, 권한, 활성상태, 부여자·시각</x:v>
      </x:c>
      <x:c r="E44" s="2" t="str">
        <x:v>계정 생성, 권한 부여/회수, 활성상태 변경</x:v>
      </x:c>
      <x:c r="F44" s="2" t="str">
        <x:v>관리자 목록·처리결과</x:v>
      </x:c>
      <x:c r="G44" s="2" t="str">
        <x:v>DB</x:v>
      </x:c>
      <x:c r="H44" s="2" t="str">
        <x:v>O</x:v>
      </x:c>
      <x:c r="I44" s="2" t="str">
        <x:v>관리자, 관리자권한이력</x:v>
      </x:c>
      <x:c r="J44" s="2" t="str">
        <x:v>-</x:v>
      </x:c>
      <x:c r="K44" s="2" t="str">
        <x:v>super_admin만 접근; 본인 마지막 Super 권한 회수 금지</x:v>
      </x:c>
      <x:c r="L44" s="7" t="str">
        <x:v>확정+설계</x:v>
      </x:c>
      <x:c r="M44" s="2" t="str">
        <x:v>관리자 32p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4512a71533e1451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31" customWidth="1"/>
    <x:col min="2" max="2" width="21" customWidth="1"/>
    <x:col min="3" max="3" width="15" customWidth="1"/>
    <x:col min="4" max="4" width="50" customWidth="1"/>
    <x:col min="5" max="5" width="36" customWidth="1"/>
    <x:col min="6" max="6" width="42" customWidth="1"/>
    <x:col min="7" max="7" width="37" customWidth="1"/>
    <x:col min="8" max="8" width="18" customWidth="1"/>
    <x:col min="9" max="9" width="20" customWidth="1"/>
    <x:col min="10" max="10" width="42" customWidth="1"/>
  </x:cols>
  <x:sheetData>
    <x:row r="1" ht="33.95000076293945" customHeight="1">
      <x:c r="A1" s="16" t="str">
        <x:v>테이블 후보</x:v>
      </x:c>
      <x:c r="B1" s="16"/>
      <x:c r="C1" s="16"/>
      <x:c r="D1" s="16"/>
      <x:c r="E1" s="16"/>
      <x:c r="F1" s="16"/>
      <x:c r="G1" s="16"/>
      <x:c r="H1" s="16"/>
      <x:c r="I1" s="16"/>
      <x:c r="J1" s="16"/>
    </x:row>
    <x:row r="2" ht="27.950000762939453" customHeight="1">
      <x:c r="A2" s="17" t="str">
        <x:v>최종 화면 범위에서 필요한 PostgreSQL/PostGIS 테이블 · 신고 계열 제외</x:v>
      </x:c>
      <x:c r="B2" s="17"/>
      <x:c r="C2" s="17"/>
      <x:c r="D2" s="17"/>
      <x:c r="E2" s="17"/>
      <x:c r="F2" s="17"/>
      <x:c r="G2" s="17"/>
      <x:c r="H2" s="17"/>
      <x:c r="I2" s="17"/>
      <x:c r="J2" s="17"/>
    </x:row>
    <x:row r="3">
      <x:c r="A3"/>
      <x:c r="B3"/>
      <x:c r="C3"/>
      <x:c r="D3"/>
      <x:c r="E3"/>
      <x:c r="F3"/>
      <x:c r="G3"/>
      <x:c r="H3"/>
      <x:c r="I3"/>
      <x:c r="J3"/>
    </x:row>
    <x:row r="4" ht="33.95000076293945" customHeight="1">
      <x:c r="A4" s="6" t="str">
        <x:v>테이블 후보</x:v>
      </x:c>
      <x:c r="B4" s="6" t="str">
        <x:v>영역</x:v>
      </x:c>
      <x:c r="C4" s="6" t="str">
        <x:v>분류</x:v>
      </x:c>
      <x:c r="D4" s="6" t="str">
        <x:v>필요 이유</x:v>
      </x:c>
      <x:c r="E4" s="6" t="str">
        <x:v>주요 관련 화면</x:v>
      </x:c>
      <x:c r="F4" s="6" t="str">
        <x:v>합치기/분리 판단</x:v>
      </x:c>
      <x:c r="G4" s="6" t="str">
        <x:v>예상 관계</x:v>
      </x:c>
      <x:c r="H4" s="6" t="str">
        <x:v>현재 결정</x:v>
      </x:c>
      <x:c r="I4" s="6" t="str">
        <x:v>근거 유형</x:v>
      </x:c>
      <x:c r="J4" s="6" t="str">
        <x:v>비고</x:v>
      </x:c>
    </x:row>
    <x:row r="5" ht="51.95000076293945" customHeight="1">
      <x:c r="A5" s="2" t="str">
        <x:v>users</x:v>
      </x:c>
      <x:c r="B5" s="2" t="str">
        <x:v>회원/인증</x:v>
      </x:c>
      <x:c r="C5" s="2" t="str">
        <x:v>핵심</x:v>
      </x:c>
      <x:c r="D5" s="2" t="str">
        <x:v>서비스 회원 프로필·상태 저장</x:v>
      </x:c>
      <x:c r="E5" s="2" t="str">
        <x:v>AUTH, MY, A-MEMBER</x:v>
      </x:c>
      <x:c r="F5" s="2" t="str">
        <x:v>인증 수단과 분리</x:v>
      </x:c>
      <x:c r="G5" s="2" t="str">
        <x:v>1:N auth_accounts; 1:1 preferences; 1:1 user_term_agreements</x:v>
      </x:c>
      <x:c r="H5" s="7" t="str">
        <x:v>생성</x:v>
      </x:c>
      <x:c r="I5" s="2" t="str">
        <x:v>확정+설계</x:v>
      </x:c>
      <x:c r="J5" s="2" t="str">
        <x:v>Supabase auth.users 사용 안 함</x:v>
      </x:c>
    </x:row>
    <x:row r="6" ht="51.95000076293945" customHeight="1">
      <x:c r="A6" s="2" t="str">
        <x:v>auth_accounts</x:v>
      </x:c>
      <x:c r="B6" s="2" t="str">
        <x:v>회원/인증</x:v>
      </x:c>
      <x:c r="C6" s="2" t="str">
        <x:v>핵심</x:v>
      </x:c>
      <x:c r="D6" s="2" t="str">
        <x:v>Local/NAVER/Kakao/Google 식별정보 관리</x:v>
      </x:c>
      <x:c r="E6" s="2" t="str">
        <x:v>AUTH, MY</x:v>
      </x:c>
      <x:c r="F6" s="2" t="str">
        <x:v>users와 분리</x:v>
      </x:c>
      <x:c r="G6" s="2" t="str">
        <x:v>N:1 users</x:v>
      </x:c>
      <x:c r="H6" s="7" t="str">
        <x:v>생성</x:v>
      </x:c>
      <x:c r="I6" s="2" t="str">
        <x:v>확정+설계</x:v>
      </x:c>
      <x:c r="J6" s="2" t="str">
        <x:v>비밀번호는 hash만</x:v>
      </x:c>
    </x:row>
    <x:row r="7" ht="51.95000076293945" customHeight="1">
      <x:c r="A7" s="2" t="str">
        <x:v>user_sessions</x:v>
      </x:c>
      <x:c r="B7" s="2" t="str">
        <x:v>회원/인증</x:v>
      </x:c>
      <x:c r="C7" s="2" t="str">
        <x:v>핵심</x:v>
      </x:c>
      <x:c r="D7" s="2" t="str">
        <x:v>30일 자동 로그인·세션 폐기</x:v>
      </x:c>
      <x:c r="E7" s="2" t="str">
        <x:v>AUTH</x:v>
      </x:c>
      <x:c r="F7" s="2" t="str">
        <x:v>인증계정과 분리</x:v>
      </x:c>
      <x:c r="G7" s="2" t="str">
        <x:v>N:1 users; N:1 auth_accounts</x:v>
      </x:c>
      <x:c r="H7" s="7" t="str">
        <x:v>생성</x:v>
      </x:c>
      <x:c r="I7" s="2" t="str">
        <x:v>확정+설계</x:v>
      </x:c>
      <x:c r="J7" s="2" t="str">
        <x:v>Refresh token hash 권장</x:v>
      </x:c>
    </x:row>
    <x:row r="8" ht="51.95000076293945" customHeight="1">
      <x:c r="A8" s="2" t="str">
        <x:v>email_verifications</x:v>
      </x:c>
      <x:c r="B8" s="2" t="str">
        <x:v>회원/인증</x:v>
      </x:c>
      <x:c r="C8" s="2" t="str">
        <x:v>핵심</x:v>
      </x:c>
      <x:c r="D8" s="2" t="str">
        <x:v>가입·비밀번호 재설정 이메일 인증</x:v>
      </x:c>
      <x:c r="E8" s="2" t="str">
        <x:v>AUTH-004/006</x:v>
      </x:c>
      <x:c r="F8" s="2" t="str">
        <x:v>purpose로 공통화</x:v>
      </x:c>
      <x:c r="G8" s="2" t="str">
        <x:v>email/user와 연결</x:v>
      </x:c>
      <x:c r="H8" s="7" t="str">
        <x:v>생성</x:v>
      </x:c>
      <x:c r="I8" s="2" t="str">
        <x:v>확정+설계</x:v>
      </x:c>
      <x:c r="J8" s="2" t="str">
        <x:v>코드 원문 금지</x:v>
      </x:c>
    </x:row>
    <x:row r="9" ht="51.95000076293945" customHeight="1">
      <x:c r="A9" s="2" t="str">
        <x:v>user_term_agreements</x:v>
      </x:c>
      <x:c r="B9" s="2" t="str">
        <x:v>약관</x:v>
      </x:c>
      <x:c r="C9" s="2" t="str">
        <x:v>핵심</x:v>
      </x:c>
      <x:c r="D9" s="2" t="str">
        <x:v>필수 약관 3종의 일괄 동의 시각 보존</x:v>
      </x:c>
      <x:c r="E9" s="2" t="str">
        <x:v>AUTH-005</x:v>
      </x:c>
      <x:c r="F9" s="2" t="str">
        <x:v>약관 본문은 Frontend 하드코딩; 동의기록만 DB</x:v>
      </x:c>
      <x:c r="G9" s="2" t="str">
        <x:v>1:1 users</x:v>
      </x:c>
      <x:c r="H9" s="7" t="str">
        <x:v>생성</x:v>
      </x:c>
      <x:c r="I9" s="2" t="str">
        <x:v>확정+설계</x:v>
      </x:c>
      <x:c r="J9" s="2" t="str">
        <x:v>사용자당 1건; 버전/본문은 DB 미저장</x:v>
      </x:c>
    </x:row>
    <x:row r="10" ht="51.95000076293945" customHeight="1">
      <x:c r="A10" s="2" t="str">
        <x:v>driving_preferences</x:v>
      </x:c>
      <x:c r="B10" s="2" t="str">
        <x:v>사용자 설정</x:v>
      </x:c>
      <x:c r="C10" s="2" t="str">
        <x:v>핵심</x:v>
      </x:c>
      <x:c r="D10" s="2" t="str">
        <x:v>5개 설문 원점수·완료시각 저장</x:v>
      </x:c>
      <x:c r="E10" s="2" t="str">
        <x:v>ONB, MY</x:v>
      </x:c>
      <x:c r="F10" s="2" t="str">
        <x:v>사용자당 1행</x:v>
      </x:c>
      <x:c r="G10" s="2" t="str">
        <x:v>1:1 users</x:v>
      </x:c>
      <x:c r="H10" s="7" t="str">
        <x:v>생성</x:v>
      </x:c>
      <x:c r="I10" s="2" t="str">
        <x:v>확정</x:v>
      </x:c>
      <x:c r="J10" s="2" t="str">
        <x:v>원점수 1~5; 가중치 계산</x:v>
      </x:c>
    </x:row>
    <x:row r="11" ht="51.95000076293945" customHeight="1">
      <x:c r="A11" s="2" t="str">
        <x:v>favorite_places</x:v>
      </x:c>
      <x:c r="B11" s="2" t="str">
        <x:v>사용자 설정</x:v>
      </x:c>
      <x:c r="C11" s="2" t="str">
        <x:v>핵심</x:v>
      </x:c>
      <x:c r="D11" s="2" t="str">
        <x:v>집/회사/일반 저장 장소 최대 5개</x:v>
      </x:c>
      <x:c r="E11" s="2" t="str">
        <x:v>HOME, SRCH, SAVE</x:v>
      </x:c>
      <x:c r="F11" s="2" t="str">
        <x:v>place_type으로 통합</x:v>
      </x:c>
      <x:c r="G11" s="2" t="str">
        <x:v>N:1 users</x:v>
      </x:c>
      <x:c r="H11" s="7" t="str">
        <x:v>생성</x:v>
      </x:c>
      <x:c r="I11" s="2" t="str">
        <x:v>확정+설계</x:v>
      </x:c>
      <x:c r="J11" s="2" t="str">
        <x:v>home/work 각 1개</x:v>
      </x:c>
    </x:row>
    <x:row r="12" ht="51.95000076293945" customHeight="1">
      <x:c r="A12" s="2" t="str">
        <x:v>route_requests</x:v>
      </x:c>
      <x:c r="B12" s="2" t="str">
        <x:v>경로/운영</x:v>
      </x:c>
      <x:c r="C12" s="2" t="str">
        <x:v>핵심</x:v>
      </x:c>
      <x:c r="D12" s="2" t="str">
        <x:v>성공·실패 요청 입력·상태·원인 원본</x:v>
      </x:c>
      <x:c r="E12" s="2" t="str">
        <x:v>ROUTE, A-DASH, A-DATA</x:v>
      </x:c>
      <x:c r="F12" s="2" t="str">
        <x:v>성공/실패 status 통합</x:v>
      </x:c>
      <x:c r="G12" s="2" t="str">
        <x:v>N:1 users; 1:N candidates</x:v>
      </x:c>
      <x:c r="H12" s="7" t="str">
        <x:v>생성</x:v>
      </x:c>
      <x:c r="I12" s="2" t="str">
        <x:v>확정+설계</x:v>
      </x:c>
      <x:c r="J12" s="2" t="str">
        <x:v>탈퇴 시 30일 보관 후 사용자와 함께 삭제</x:v>
      </x:c>
    </x:row>
    <x:row r="13" ht="51.95000076293945" customHeight="1">
      <x:c r="A13" s="2" t="str">
        <x:v>route_candidates</x:v>
      </x:c>
      <x:c r="B13" s="2" t="str">
        <x:v>경로</x:v>
      </x:c>
      <x:c r="C13" s="2" t="str">
        <x:v>핵심</x:v>
      </x:c>
      <x:c r="D13" s="2" t="str">
        <x:v>안심·최단시간·최단거리 후보 저장</x:v>
      </x:c>
      <x:c r="E13" s="2" t="str">
        <x:v>ROUTE-004/005, A-ROUTE-002</x:v>
      </x:c>
      <x:c r="F13" s="2" t="str">
        <x:v>route_type으로 통합</x:v>
      </x:c>
      <x:c r="G13" s="2" t="str">
        <x:v>N:1 route_requests</x:v>
      </x:c>
      <x:c r="H13" s="7" t="str">
        <x:v>생성</x:v>
      </x:c>
      <x:c r="I13" s="2" t="str">
        <x:v>확정+설계</x:v>
      </x:c>
      <x:c r="J13" s="2" t="str">
        <x:v>숫자 안전점수 노출 필드 없음</x:v>
      </x:c>
    </x:row>
    <x:row r="14" ht="51.95000076293945" customHeight="1">
      <x:c r="A14" s="2" t="str">
        <x:v>route_candidate_links</x:v>
      </x:c>
      <x:c r="B14" s="2" t="str">
        <x:v>경로</x:v>
      </x:c>
      <x:c r="C14" s="2" t="str">
        <x:v>핵심</x:v>
      </x:c>
      <x:c r="D14" s="2" t="str">
        <x:v>후보를 구성하는 도로링크 순서·재현</x:v>
      </x:c>
      <x:c r="E14" s="2" t="str">
        <x:v>ROUTE-005, NAVI, A-ROUTE-002</x:v>
      </x:c>
      <x:c r="F14" s="2" t="str">
        <x:v>geometry와 별도</x:v>
      </x:c>
      <x:c r="G14" s="2" t="str">
        <x:v>N:1 candidates; N:1 road_links</x:v>
      </x:c>
      <x:c r="H14" s="7" t="str">
        <x:v>생성 권장</x:v>
      </x:c>
      <x:c r="I14" s="2" t="str">
        <x:v>설계권장</x:v>
      </x:c>
      <x:c r="J14" s="2" t="str">
        <x:v>Navigation·관리자 재현 근거</x:v>
      </x:c>
    </x:row>
    <x:row r="15" ht="51.95000076293945" customHeight="1">
      <x:c r="A15" s="2" t="str">
        <x:v>admins</x:v>
      </x:c>
      <x:c r="B15" s="2" t="str">
        <x:v>관리자</x:v>
      </x:c>
      <x:c r="C15" s="2" t="str">
        <x:v>핵심</x:v>
      </x:c>
      <x:c r="D15" s="2" t="str">
        <x:v>Super Admin·운영 관리자 계정/권한</x:v>
      </x:c>
      <x:c r="E15" s="2" t="str">
        <x:v>A-AUTH, A-ADMIN</x:v>
      </x:c>
      <x:c r="F15" s="2" t="str">
        <x:v>일반 회원과 분리</x:v>
      </x:c>
      <x:c r="G15" s="2" t="str">
        <x:v>self FK granted_by</x:v>
      </x:c>
      <x:c r="H15" s="2" t="str">
        <x:v>생성</x:v>
      </x:c>
      <x:c r="I15" s="2" t="str">
        <x:v>확정+설계</x:v>
      </x:c>
      <x:c r="J15" s="2" t="str">
        <x:v>Super Admin 최초 1개 seed</x:v>
      </x:c>
    </x:row>
    <x:row r="16" ht="51.95000076293945" customHeight="1">
      <x:c r="A16" s="2" t="str">
        <x:v>admin_sessions</x:v>
      </x:c>
      <x:c r="B16" s="2" t="str">
        <x:v>관리자</x:v>
      </x:c>
      <x:c r="C16" s="2" t="str">
        <x:v>핵심</x:v>
      </x:c>
      <x:c r="D16" s="2" t="str">
        <x:v>관리자 전용 세션 통제</x:v>
      </x:c>
      <x:c r="E16" s="2" t="str">
        <x:v>A-AUTH</x:v>
      </x:c>
      <x:c r="F16" s="2" t="str">
        <x:v>사용자 세션과 분리</x:v>
      </x:c>
      <x:c r="G16" s="2" t="str">
        <x:v>N:1 admins</x:v>
      </x:c>
      <x:c r="H16" s="7" t="str">
        <x:v>생성 권장</x:v>
      </x:c>
      <x:c r="I16" s="2" t="str">
        <x:v>설계권장</x:v>
      </x:c>
      <x:c r="J16" s="2" t="str">
        <x:v>짧은 만료시간 권장</x:v>
      </x:c>
    </x:row>
    <x:row r="17" ht="51.95000076293945" customHeight="1">
      <x:c r="A17" s="2" t="str">
        <x:v>admin_audit_logs</x:v>
      </x:c>
      <x:c r="B17" s="2" t="str">
        <x:v>관리자</x:v>
      </x:c>
      <x:c r="C17" s="2" t="str">
        <x:v>핵심</x:v>
      </x:c>
      <x:c r="D17" s="2" t="str">
        <x:v>권한 부여·회수·활성 변경 감사 이력</x:v>
      </x:c>
      <x:c r="E17" s="2" t="str">
        <x:v>A-ADMIN</x:v>
      </x:c>
      <x:c r="F17" s="2" t="str">
        <x:v>admins 현재값과 분리</x:v>
      </x:c>
      <x:c r="G17" s="2" t="str">
        <x:v>N:1 actor admin</x:v>
      </x:c>
      <x:c r="H17" s="2" t="str">
        <x:v>생성 권장</x:v>
      </x:c>
      <x:c r="I17" s="2" t="str">
        <x:v>설계권장</x:v>
      </x:c>
      <x:c r="J17" s="2" t="str">
        <x:v>권한 변경 추적</x:v>
      </x:c>
    </x:row>
    <x:row r="18" ht="51.95000076293945" customHeight="1">
      <x:c r="A18" s="2" t="str">
        <x:v>data_update_logs</x:v>
      </x:c>
      <x:c r="B18" s="2" t="str">
        <x:v>관리자/ETL</x:v>
      </x:c>
      <x:c r="C18" s="2" t="str">
        <x:v>핵심</x:v>
      </x:c>
      <x:c r="D18" s="2" t="str">
        <x:v>TAAS·표준노드링크 갱신 이력·건수</x:v>
      </x:c>
      <x:c r="E18" s="2" t="str">
        <x:v>A-DASH, A-DATA</x:v>
      </x:c>
      <x:c r="F18" s="2" t="str">
        <x:v>KPI와 분리된 원본 로그</x:v>
      </x:c>
      <x:c r="G18" s="2" t="str">
        <x:v>executed_by 선택</x:v>
      </x:c>
      <x:c r="H18" s="2" t="str">
        <x:v>생성</x:v>
      </x:c>
      <x:c r="I18" s="2" t="str">
        <x:v>확정+설계</x:v>
      </x:c>
      <x:c r="J18" s="2" t="str">
        <x:v>처리=성공+실패</x:v>
      </x:c>
    </x:row>
    <x:row r="19" ht="51.95000076293945" customHeight="1">
      <x:c r="A19" s="2" t="str">
        <x:v>service_areas</x:v>
      </x:c>
      <x:c r="B19" s="2" t="str">
        <x:v>공간</x:v>
      </x:c>
      <x:c r="C19" s="2" t="str">
        <x:v>핵심</x:v>
      </x:c>
      <x:c r="D19" s="2" t="str">
        <x:v>강남구 서비스영역 공간 판정</x:v>
      </x:c>
      <x:c r="E19" s="2" t="str">
        <x:v>HOME, SRCH, ROUTE</x:v>
      </x:c>
      <x:c r="F19" s="2" t="str">
        <x:v>공간 Entity로 분리</x:v>
      </x:c>
      <x:c r="G19" s="2" t="str">
        <x:v>PostGIS 공간조회</x:v>
      </x:c>
      <x:c r="H19" s="7" t="str">
        <x:v>생성</x:v>
      </x:c>
      <x:c r="I19" s="2" t="str">
        <x:v>확정+설계</x:v>
      </x:c>
      <x:c r="J19" s="2" t="str">
        <x:v>MultiPolygon, 경계 포함</x:v>
      </x:c>
    </x:row>
    <x:row r="20" ht="51.95000076293945" customHeight="1">
      <x:c r="A20" s="2" t="str">
        <x:v>road_nodes</x:v>
      </x:c>
      <x:c r="B20" s="2" t="str">
        <x:v>공간/경로</x:v>
      </x:c>
      <x:c r="C20" s="2" t="str">
        <x:v>핵심</x:v>
      </x:c>
      <x:c r="D20" s="2" t="str">
        <x:v>표준노드링크 Node 그래프</x:v>
      </x:c>
      <x:c r="E20" s="2" t="str">
        <x:v>경로엔진</x:v>
      </x:c>
      <x:c r="F20" s="2" t="str">
        <x:v>road_links와 분리</x:v>
      </x:c>
      <x:c r="G20" s="2" t="str">
        <x:v>1:N road_links(from/to)</x:v>
      </x:c>
      <x:c r="H20" s="7" t="str">
        <x:v>생성</x:v>
      </x:c>
      <x:c r="I20" s="2" t="str">
        <x:v>데이터 요구</x:v>
      </x:c>
      <x:c r="J20" s="2" t="str">
        <x:v>Point</x:v>
      </x:c>
    </x:row>
    <x:row r="21" ht="51.95000076293945" customHeight="1">
      <x:c r="A21" s="2" t="str">
        <x:v>road_links</x:v>
      </x:c>
      <x:c r="B21" s="2" t="str">
        <x:v>공간/경로</x:v>
      </x:c>
      <x:c r="C21" s="2" t="str">
        <x:v>핵심</x:v>
      </x:c>
      <x:c r="D21" s="2" t="str">
        <x:v>도로 링크·선형·네트워크 속성</x:v>
      </x:c>
      <x:c r="E21" s="2" t="str">
        <x:v>경로엔진, NAVI</x:v>
      </x:c>
      <x:c r="F21" s="2" t="str">
        <x:v>가공 Feature와 분리</x:v>
      </x:c>
      <x:c r="G21" s="2" t="str">
        <x:v>N:1 from/to nodes</x:v>
      </x:c>
      <x:c r="H21" s="7" t="str">
        <x:v>생성</x:v>
      </x:c>
      <x:c r="I21" s="2" t="str">
        <x:v>데이터 요구</x:v>
      </x:c>
      <x:c r="J21" s="2" t="str">
        <x:v>LineString</x:v>
      </x:c>
    </x:row>
    <x:row r="22" ht="51.95000076293945" customHeight="1">
      <x:c r="A22" s="2" t="str">
        <x:v>road_link_features</x:v>
      </x:c>
      <x:c r="B22" s="2" t="str">
        <x:v>공간/경로</x:v>
      </x:c>
      <x:c r="C22" s="2" t="str">
        <x:v>핵심</x:v>
      </x:c>
      <x:c r="D22" s="2" t="str">
        <x:v>설문 5요소와 대응하는 전처리 특징</x:v>
      </x:c>
      <x:c r="E22" s="2" t="str">
        <x:v>경로엔진</x:v>
      </x:c>
      <x:c r="F22" s="2" t="str">
        <x:v>원천 링크와 분리</x:v>
      </x:c>
      <x:c r="G22" s="2" t="str">
        <x:v>1:1 road_links</x:v>
      </x:c>
      <x:c r="H22" s="7" t="str">
        <x:v>생성</x:v>
      </x:c>
      <x:c r="I22" s="2" t="str">
        <x:v>설계권장</x:v>
      </x:c>
      <x:c r="J22" s="2" t="str">
        <x:v>실제 점수 정의는 데이터 분석 후 보정</x:v>
      </x:c>
    </x:row>
    <x:row r="23" ht="51.95000076293945" customHeight="1">
      <x:c r="A23" s="2" t="str">
        <x:v>traffic_accidents</x:v>
      </x:c>
      <x:c r="B23" s="2" t="str">
        <x:v>공간/사고</x:v>
      </x:c>
      <x:c r="C23" s="2" t="str">
        <x:v>핵심</x:v>
      </x:c>
      <x:c r="D23" s="2" t="str">
        <x:v>TAAS 사고 데이터와 링크 매칭 결과</x:v>
      </x:c>
      <x:c r="E23" s="2" t="str">
        <x:v>경로엔진, A-DATA</x:v>
      </x:c>
      <x:c r="F23" s="2" t="str">
        <x:v>road_links와 공간매칭</x:v>
      </x:c>
      <x:c r="G23" s="2" t="str">
        <x:v>N:1 matched road_link</x:v>
      </x:c>
      <x:c r="H23" s="7" t="str">
        <x:v>생성</x:v>
      </x:c>
      <x:c r="I23" s="2" t="str">
        <x:v>프로젝트 데이터</x:v>
      </x:c>
      <x:c r="J23" s="2" t="str">
        <x:v>TAAS 원본 공간형식 Point 확정 · geometry(Point,4326)</x:v>
      </x:c>
    </x:row>
    <x:row r="24" ht="51.95000076293945" customHeight="1">
      <x:c r="A24" s="2" t="str">
        <x:v>notices</x:v>
      </x:c>
      <x:c r="B24" s="2" t="str">
        <x:v>지원</x:v>
      </x:c>
      <x:c r="C24" s="2" t="str">
        <x:v>핵심</x:v>
      </x:c>
      <x:c r="D24" s="2" t="str">
        <x:v>앱 공지 목록·상세 제공</x:v>
      </x:c>
      <x:c r="E24" s="2" t="str">
        <x:v>SUPPORT-004/005</x:v>
      </x:c>
      <x:c r="F24" s="2" t="str">
        <x:v>목록/상세 1테이블</x:v>
      </x:c>
      <x:c r="G24" s="2" t="str">
        <x:v>created_by admin 선택</x:v>
      </x:c>
      <x:c r="H24" s="7" t="str">
        <x:v>생성 권장</x:v>
      </x:c>
      <x:c r="I24" s="2" t="str">
        <x:v>설계권장</x:v>
      </x:c>
      <x:c r="J24" s="2" t="str">
        <x:v>관리자 UI 없이 초기 SQL 운영 가능</x:v>
      </x:c>
    </x:row>
    <x:row r="25" ht="51.95000076293945" customHeight="1">
      <x:c r="A25" s="2" t="str">
        <x:v>inquiries</x:v>
      </x:c>
      <x:c r="B25" s="2" t="str">
        <x:v>지원</x:v>
      </x:c>
      <x:c r="C25" s="2" t="str">
        <x:v>핵심</x:v>
      </x:c>
      <x:c r="D25" s="2" t="str">
        <x:v>사용자 문의 접수 원본</x:v>
      </x:c>
      <x:c r="E25" s="2" t="str">
        <x:v>SUPPORT-006</x:v>
      </x:c>
      <x:c r="F25" s="2" t="str">
        <x:v>사용자와 분리</x:v>
      </x:c>
      <x:c r="G25" s="2" t="str">
        <x:v>N:1 users</x:v>
      </x:c>
      <x:c r="H25" s="2" t="str">
        <x:v>생성 권장</x:v>
      </x:c>
      <x:c r="I25" s="2" t="str">
        <x:v>설계권장</x:v>
      </x:c>
      <x:c r="J25" s="2" t="str">
        <x:v>탈퇴 시 30일 보관 후 사용자와 함께 삭제</x:v>
      </x:c>
    </x:row>
    <x:row r="26" ht="51.95000076293945" customHeight="1">
      <x:c r="A26" s="2" t="str">
        <x:v>recent_searches</x:v>
      </x:c>
      <x:c r="B26" s="2" t="str">
        <x:v>검색</x:v>
      </x:c>
      <x:c r="C26" s="2" t="str">
        <x:v>조건부</x:v>
      </x:c>
      <x:c r="D26" s="2" t="str">
        <x:v>기기간 최근검색 동기화 시 필요</x:v>
      </x:c>
      <x:c r="E26" s="2" t="str">
        <x:v>SRCH-001</x:v>
      </x:c>
      <x:c r="F26" s="2" t="str">
        <x:v>MVP 로컬이면 미생성</x:v>
      </x:c>
      <x:c r="G26" s="2" t="str">
        <x:v>N:1 users</x:v>
      </x:c>
      <x:c r="H26" s="2" t="str">
        <x:v>보류</x:v>
      </x:c>
      <x:c r="I26" s="2" t="str">
        <x:v>구현결정</x:v>
      </x:c>
      <x:c r="J26" s="2" t="str">
        <x:v>서버 동기화 요구 발생 시</x:v>
      </x:c>
    </x:row>
    <x:row r="27" ht="51.95000076293945" customHeight="1">
      <x:c r="A27" s="2" t="str">
        <x:v>road_risk_scores</x:v>
      </x:c>
      <x:c r="B27" s="2" t="str">
        <x:v>공간/모델</x:v>
      </x:c>
      <x:c r="C27" s="9" t="str">
        <x:v>조건부</x:v>
      </x:c>
      <x:c r="D27" s="2" t="str">
        <x:v>링크별 모델·시간대 결과 영속화 시 필요</x:v>
      </x:c>
      <x:c r="E27" s="2" t="str">
        <x:v>경로엔진</x:v>
      </x:c>
      <x:c r="F27" s="2" t="str">
        <x:v>실시간 계산이면 미생성</x:v>
      </x:c>
      <x:c r="G27" s="2" t="str">
        <x:v>N:1 road_links</x:v>
      </x:c>
      <x:c r="H27" s="9" t="str">
        <x:v>보류</x:v>
      </x:c>
      <x:c r="I27" s="2" t="str">
        <x:v>데이터팀 확인</x:v>
      </x:c>
      <x:c r="J27" s="2" t="str">
        <x:v>모델 설계 후 결정</x:v>
      </x:c>
    </x:row>
    <x:row r="28" ht="51.95000076293945" customHeight="1">
      <x:c r="A28" s="2"/>
      <x:c r="B28" s="2"/>
      <x:c r="C28" s="9"/>
      <x:c r="D28" s="2"/>
      <x:c r="E28" s="2"/>
      <x:c r="F28" s="2"/>
      <x:c r="G28" s="2"/>
      <x:c r="H28" s="9"/>
      <x:c r="I28" s="2"/>
      <x:c r="J28" s="2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ea3f58005c9640d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30" customWidth="1"/>
    <x:col min="2" max="2" width="16" customWidth="1"/>
    <x:col min="3" max="3" width="32" customWidth="1"/>
    <x:col min="4" max="4" width="48" customWidth="1"/>
    <x:col min="5" max="5" width="16" customWidth="1"/>
    <x:col min="6" max="6" width="50" customWidth="1"/>
    <x:col min="7" max="7" width="34" customWidth="1"/>
    <x:col min="8" max="8" width="42" customWidth="1"/>
    <x:col min="9" max="9" width="26" customWidth="1"/>
  </x:cols>
  <x:sheetData>
    <x:row r="1" ht="33.95000076293945" customHeight="1">
      <x:c r="A1" s="16" t="str">
        <x:v>테이블 관계</x:v>
      </x:c>
      <x:c r="B1" s="16"/>
      <x:c r="C1" s="16"/>
      <x:c r="D1" s="16"/>
      <x:c r="E1" s="16"/>
      <x:c r="F1" s="16"/>
      <x:c r="G1" s="16"/>
      <x:c r="H1" s="16"/>
      <x:c r="I1" s="16"/>
    </x:row>
    <x:row r="2" ht="27.950000762939453" customHeight="1">
      <x:c r="A2" s="17" t="str">
        <x:v>ERD 작성 전에 확인할 핵심 PK/FK·공간관계·집계관계</x:v>
      </x:c>
      <x:c r="B2" s="17"/>
      <x:c r="C2" s="17"/>
      <x:c r="D2" s="17"/>
      <x:c r="E2" s="17"/>
      <x:c r="F2" s="17"/>
      <x:c r="G2" s="17"/>
      <x:c r="H2" s="17"/>
      <x:c r="I2" s="17"/>
    </x:row>
    <x:row r="3">
      <x:c r="A3"/>
      <x:c r="B3"/>
      <x:c r="C3"/>
      <x:c r="D3"/>
      <x:c r="E3"/>
      <x:c r="F3"/>
      <x:c r="G3"/>
      <x:c r="H3"/>
      <x:c r="I3"/>
    </x:row>
    <x:row r="4" ht="33.95000076293945" customHeight="1">
      <x:c r="A4" s="6" t="str">
        <x:v>부모/기준 Entity</x:v>
      </x:c>
      <x:c r="B4" s="6" t="str">
        <x:v>관계</x:v>
      </x:c>
      <x:c r="C4" s="6" t="str">
        <x:v>자식/연결 Entity</x:v>
      </x:c>
      <x:c r="D4" s="6" t="str">
        <x:v>관계 의미</x:v>
      </x:c>
      <x:c r="E4" s="6" t="str">
        <x:v>필수 여부</x:v>
      </x:c>
      <x:c r="F4" s="6" t="str">
        <x:v>예상 FK/연결</x:v>
      </x:c>
      <x:c r="G4" s="6" t="str">
        <x:v>화면/기능 근거</x:v>
      </x:c>
      <x:c r="H4" s="6" t="str">
        <x:v>결정·제약</x:v>
      </x:c>
      <x:c r="I4" s="6" t="str">
        <x:v>비고</x:v>
      </x:c>
    </x:row>
    <x:row r="5" ht="51.95000076293945" customHeight="1">
      <x:c r="A5" s="2" t="str">
        <x:v>users</x:v>
      </x:c>
      <x:c r="B5" s="2" t="str">
        <x:v>1:N</x:v>
      </x:c>
      <x:c r="C5" s="2" t="str">
        <x:v>auth_accounts</x:v>
      </x:c>
      <x:c r="D5" s="2" t="str">
        <x:v>회원의 Local/소셜 로그인 수단</x:v>
      </x:c>
      <x:c r="E5" s="2" t="str">
        <x:v>핵심</x:v>
      </x:c>
      <x:c r="F5" s="2" t="str">
        <x:v>auth_accounts.user_id → users.id</x:v>
      </x:c>
      <x:c r="G5" s="2" t="str">
        <x:v>AUTH</x:v>
      </x:c>
      <x:c r="H5" s="2" t="str">
        <x:v>users.email UNIQUE 유지; 동일 이메일 별도 Local/소셜 가입 차단</x:v>
      </x:c>
      <x:c r="I5" s="2" t="str">
        <x:v>기존 계정 로그인 또는 추후 명시적 계정 연결</x:v>
      </x:c>
    </x:row>
    <x:row r="6" ht="51.95000076293945" customHeight="1">
      <x:c r="A6" s="2" t="str">
        <x:v>users</x:v>
      </x:c>
      <x:c r="B6" s="2" t="str">
        <x:v>1:N</x:v>
      </x:c>
      <x:c r="C6" s="2" t="str">
        <x:v>user_sessions</x:v>
      </x:c>
      <x:c r="D6" s="2" t="str">
        <x:v>여러 기기·자동 로그인 세션</x:v>
      </x:c>
      <x:c r="E6" s="2" t="str">
        <x:v>핵심</x:v>
      </x:c>
      <x:c r="F6" s="2" t="str">
        <x:v>user_sessions.user_id → users.id</x:v>
      </x:c>
      <x:c r="G6" s="2" t="str">
        <x:v>AUTH</x:v>
      </x:c>
      <x:c r="H6" s="2" t="str">
        <x:v>탈퇴·비밀번호 변경 시 폐기</x:v>
      </x:c>
      <x:c r="I6" s="2" t="str">
        <x:v>-</x:v>
      </x:c>
    </x:row>
    <x:row r="7" ht="51.95000076293945" customHeight="1">
      <x:c r="A7" s="2" t="str">
        <x:v>auth_accounts</x:v>
      </x:c>
      <x:c r="B7" s="2" t="str">
        <x:v>1:N</x:v>
      </x:c>
      <x:c r="C7" s="2" t="str">
        <x:v>user_sessions</x:v>
      </x:c>
      <x:c r="D7" s="2" t="str">
        <x:v>세션이 사용 로그인 수단을 기록</x:v>
      </x:c>
      <x:c r="E7" s="2" t="str">
        <x:v>핵심</x:v>
      </x:c>
      <x:c r="F7" s="2" t="str">
        <x:v>user_sessions.auth_account_id → auth_accounts.id</x:v>
      </x:c>
      <x:c r="G7" s="2" t="str">
        <x:v>AUTH</x:v>
      </x:c>
      <x:c r="H7" s="2" t="str">
        <x:v>nullable 허용 가능</x:v>
      </x:c>
      <x:c r="I7" s="2" t="str">
        <x:v>-</x:v>
      </x:c>
    </x:row>
    <x:row r="8" ht="51.95000076293945" customHeight="1">
      <x:c r="A8" s="2" t="str">
        <x:v>users</x:v>
      </x:c>
      <x:c r="B8" s="2" t="str">
        <x:v>1:1</x:v>
      </x:c>
      <x:c r="C8" s="2" t="str">
        <x:v>user_term_agreements</x:v>
      </x:c>
      <x:c r="D8" s="2" t="str">
        <x:v>회원별 필수 약관 3종 일괄 동의 기록</x:v>
      </x:c>
      <x:c r="E8" s="2" t="str">
        <x:v>핵심</x:v>
      </x:c>
      <x:c r="F8" s="2" t="str">
        <x:v>user_term_agreements.user_id → users.id</x:v>
      </x:c>
      <x:c r="G8" s="2" t="str">
        <x:v>AUTH-005</x:v>
      </x:c>
      <x:c r="H8" s="2" t="str">
        <x:v>사용자당 1건 UNIQUE; 본문은 Frontend 하드코딩</x:v>
      </x:c>
      <x:c r="I8" s="2" t="str">
        <x:v>약관 본문/버전 DB 미저장</x:v>
      </x:c>
    </x:row>
    <x:row r="9" ht="51.95000076293945" customHeight="1">
      <x:c r="A9" s="2" t="str">
        <x:v>users</x:v>
      </x:c>
      <x:c r="B9" s="2" t="str">
        <x:v>1:1</x:v>
      </x:c>
      <x:c r="C9" s="2" t="str">
        <x:v>driving_preferences</x:v>
      </x:c>
      <x:c r="D9" s="2" t="str">
        <x:v>사용자당 현재 설문 원점수 1세트</x:v>
      </x:c>
      <x:c r="E9" s="2" t="str">
        <x:v>핵심</x:v>
      </x:c>
      <x:c r="F9" s="2" t="str">
        <x:v>preferences.user_id PK/FK → users.id</x:v>
      </x:c>
      <x:c r="G9" s="2" t="str">
        <x:v>ONB/MY</x:v>
      </x:c>
      <x:c r="H9" s="2" t="str">
        <x:v>이력 필요 시 별도 history</x:v>
      </x:c>
      <x:c r="I9" s="2" t="str">
        <x:v>-</x:v>
      </x:c>
    </x:row>
    <x:row r="10" ht="51.95000076293945" customHeight="1">
      <x:c r="A10" s="2" t="str">
        <x:v>users</x:v>
      </x:c>
      <x:c r="B10" s="2" t="str">
        <x:v>1:N</x:v>
      </x:c>
      <x:c r="C10" s="2" t="str">
        <x:v>favorite_places</x:v>
      </x:c>
      <x:c r="D10" s="2" t="str">
        <x:v>사용자 저장 장소 최대 5개</x:v>
      </x:c>
      <x:c r="E10" s="2" t="str">
        <x:v>핵심</x:v>
      </x:c>
      <x:c r="F10" s="2" t="str">
        <x:v>favorite_places.user_id → users.id</x:v>
      </x:c>
      <x:c r="G10" s="2" t="str">
        <x:v>HOME/SAVE</x:v>
      </x:c>
      <x:c r="H10" s="2" t="str">
        <x:v>home/work 각 1개</x:v>
      </x:c>
      <x:c r="I10" s="2" t="str">
        <x:v>Backend 최대 5 검증</x:v>
      </x:c>
    </x:row>
    <x:row r="11" ht="51.95000076293945" customHeight="1">
      <x:c r="A11" s="2" t="str">
        <x:v>users</x:v>
      </x:c>
      <x:c r="B11" s="2" t="str">
        <x:v>1:N</x:v>
      </x:c>
      <x:c r="C11" s="2" t="str">
        <x:v>route_requests</x:v>
      </x:c>
      <x:c r="D11" s="2" t="str">
        <x:v>사용자의 성공·실패 경로 요청</x:v>
      </x:c>
      <x:c r="E11" s="2" t="str">
        <x:v>핵심</x:v>
      </x:c>
      <x:c r="F11" s="2" t="str">
        <x:v>route_requests.user_id → users.id</x:v>
      </x:c>
      <x:c r="G11" s="2" t="str">
        <x:v>ROUTE/A-DASH/A-DATA</x:v>
      </x:c>
      <x:c r="H11" s="2" t="str">
        <x:v>탈퇴 즉시 비활성화; 30일 보관 후 users hard delete 시 CASCADE 삭제</x:v>
      </x:c>
      <x:c r="I11" s="2" t="str">
        <x:v>통계 보존 목적 익명화 미사용</x:v>
      </x:c>
    </x:row>
    <x:row r="12" ht="51.95000076293945" customHeight="1">
      <x:c r="A12" s="2" t="str">
        <x:v>route_requests</x:v>
      </x:c>
      <x:c r="B12" s="2" t="str">
        <x:v>1:N</x:v>
      </x:c>
      <x:c r="C12" s="2" t="str">
        <x:v>route_candidates</x:v>
      </x:c>
      <x:c r="D12" s="2" t="str">
        <x:v>요청 1건의 3종 후보</x:v>
      </x:c>
      <x:c r="E12" s="2" t="str">
        <x:v>핵심</x:v>
      </x:c>
      <x:c r="F12" s="2" t="str">
        <x:v>route_candidates.route_request_id → route_requests.id</x:v>
      </x:c>
      <x:c r="G12" s="2" t="str">
        <x:v>ROUTE/A-ROUTE</x:v>
      </x:c>
      <x:c r="H12" s="2" t="str">
        <x:v>요청당 route_type UNIQUE</x:v>
      </x:c>
      <x:c r="I12" s="2" t="str">
        <x:v>-</x:v>
      </x:c>
    </x:row>
    <x:row r="13" ht="51.95000076293945" customHeight="1">
      <x:c r="A13" s="2" t="str">
        <x:v>route_candidates</x:v>
      </x:c>
      <x:c r="B13" s="2" t="str">
        <x:v>1:N</x:v>
      </x:c>
      <x:c r="C13" s="2" t="str">
        <x:v>route_candidate_links</x:v>
      </x:c>
      <x:c r="D13" s="2" t="str">
        <x:v>후보 구성 링크 순서</x:v>
      </x:c>
      <x:c r="E13" s="2" t="str">
        <x:v>핵심</x:v>
      </x:c>
      <x:c r="F13" s="2" t="str">
        <x:v>candidate_links.route_candidate_id → candidates.id</x:v>
      </x:c>
      <x:c r="G13" s="2" t="str">
        <x:v>ROUTE-005/NAVI/A-ROUTE</x:v>
      </x:c>
      <x:c r="H13" s="2" t="str">
        <x:v>복합 PK(candidate_id,seq)</x:v>
      </x:c>
      <x:c r="I13" s="2" t="str">
        <x:v>-</x:v>
      </x:c>
    </x:row>
    <x:row r="14" ht="51.95000076293945" customHeight="1">
      <x:c r="A14" s="2" t="str">
        <x:v>road_links</x:v>
      </x:c>
      <x:c r="B14" s="2" t="str">
        <x:v>1:N</x:v>
      </x:c>
      <x:c r="C14" s="2" t="str">
        <x:v>route_candidate_links</x:v>
      </x:c>
      <x:c r="D14" s="2" t="str">
        <x:v>링크가 여러 후보에 재사용</x:v>
      </x:c>
      <x:c r="E14" s="2" t="str">
        <x:v>핵심</x:v>
      </x:c>
      <x:c r="F14" s="2" t="str">
        <x:v>candidate_links.road_link_id → road_links.id</x:v>
      </x:c>
      <x:c r="G14" s="2" t="str">
        <x:v>경로/NAVI</x:v>
      </x:c>
      <x:c r="H14" s="2" t="str">
        <x:v>링크 데이터 갱신 참조정책</x:v>
      </x:c>
      <x:c r="I14" s="2" t="str">
        <x:v>-</x:v>
      </x:c>
    </x:row>
    <x:row r="15" ht="51.95000076293945" customHeight="1">
      <x:c r="A15" s="2" t="str">
        <x:v>admins</x:v>
      </x:c>
      <x:c r="B15" s="2" t="str">
        <x:v>1:N</x:v>
      </x:c>
      <x:c r="C15" s="2" t="str">
        <x:v>admin_sessions</x:v>
      </x:c>
      <x:c r="D15" s="2" t="str">
        <x:v>관리자 로그인 세션</x:v>
      </x:c>
      <x:c r="E15" s="2" t="str">
        <x:v>핵심</x:v>
      </x:c>
      <x:c r="F15" s="2" t="str">
        <x:v>admin_sessions.admin_id → admins.id</x:v>
      </x:c>
      <x:c r="G15" s="2" t="str">
        <x:v>A-AUTH</x:v>
      </x:c>
      <x:c r="H15" s="2" t="str">
        <x:v>일반 세션보다 짧게</x:v>
      </x:c>
      <x:c r="I15" s="2" t="str">
        <x:v>-</x:v>
      </x:c>
    </x:row>
    <x:row r="16" ht="51.95000076293945" customHeight="1">
      <x:c r="A16" s="2" t="str">
        <x:v>admins</x:v>
      </x:c>
      <x:c r="B16" s="2" t="str">
        <x:v>1:N</x:v>
      </x:c>
      <x:c r="C16" s="2" t="str">
        <x:v>admins</x:v>
      </x:c>
      <x:c r="D16" s="2" t="str">
        <x:v>Super Admin이 운영 관리자 권한 부여</x:v>
      </x:c>
      <x:c r="E16" s="2" t="str">
        <x:v>핵심</x:v>
      </x:c>
      <x:c r="F16" s="2" t="str">
        <x:v>admins.granted_by_admin_id → admins.id</x:v>
      </x:c>
      <x:c r="G16" s="2" t="str">
        <x:v>A-ADMIN</x:v>
      </x:c>
      <x:c r="H16" s="2" t="str">
        <x:v>마지막 Super 권한 보호</x:v>
      </x:c>
      <x:c r="I16" s="2" t="str">
        <x:v>self FK</x:v>
      </x:c>
    </x:row>
    <x:row r="17" ht="51.95000076293945" customHeight="1">
      <x:c r="A17" s="2" t="str">
        <x:v>admins</x:v>
      </x:c>
      <x:c r="B17" s="2" t="str">
        <x:v>1:N</x:v>
      </x:c>
      <x:c r="C17" s="2" t="str">
        <x:v>admin_audit_logs</x:v>
      </x:c>
      <x:c r="D17" s="2" t="str">
        <x:v>관리자 권한 변경 감사 이력</x:v>
      </x:c>
      <x:c r="E17" s="2" t="str">
        <x:v>핵심</x:v>
      </x:c>
      <x:c r="F17" s="2" t="str">
        <x:v>audit.actor_admin_id → admins.id</x:v>
      </x:c>
      <x:c r="G17" s="2" t="str">
        <x:v>A-ADMIN</x:v>
      </x:c>
      <x:c r="H17" s="2" t="str">
        <x:v>변경 전/후 JSON 저장</x:v>
      </x:c>
      <x:c r="I17" s="2" t="str">
        <x:v>-</x:v>
      </x:c>
    </x:row>
    <x:row r="18" ht="51.95000076293945" customHeight="1">
      <x:c r="A18" s="2" t="str">
        <x:v>admins</x:v>
      </x:c>
      <x:c r="B18" s="2" t="str">
        <x:v>1:N</x:v>
      </x:c>
      <x:c r="C18" s="2" t="str">
        <x:v>data_update_logs</x:v>
      </x:c>
      <x:c r="D18" s="2" t="str">
        <x:v>수동 실행 관리자 기록</x:v>
      </x:c>
      <x:c r="E18" s="2" t="str">
        <x:v>선택</x:v>
      </x:c>
      <x:c r="F18" s="2" t="str">
        <x:v>updates.executed_by → admins.id</x:v>
      </x:c>
      <x:c r="G18" s="2" t="str">
        <x:v>A-DATA</x:v>
      </x:c>
      <x:c r="H18" s="2" t="str">
        <x:v>자동 ETL이면 NULL</x:v>
      </x:c>
      <x:c r="I18" s="2" t="str">
        <x:v>-</x:v>
      </x:c>
    </x:row>
    <x:row r="19" ht="51.95000076293945" customHeight="1">
      <x:c r="A19" s="2" t="str">
        <x:v>users</x:v>
      </x:c>
      <x:c r="B19" s="2" t="str">
        <x:v>1:N</x:v>
      </x:c>
      <x:c r="C19" s="2" t="str">
        <x:v>inquiries</x:v>
      </x:c>
      <x:c r="D19" s="2" t="str">
        <x:v>사용자 문의 접수</x:v>
      </x:c>
      <x:c r="E19" s="2" t="str">
        <x:v>핵심</x:v>
      </x:c>
      <x:c r="F19" s="2" t="str">
        <x:v>inquiries.user_id → users.id</x:v>
      </x:c>
      <x:c r="G19" s="2" t="str">
        <x:v>SUPPORT-006</x:v>
      </x:c>
      <x:c r="H19" s="2" t="str">
        <x:v>탈퇴 30일 후 users hard delete 시 CASCADE 삭제</x:v>
      </x:c>
      <x:c r="I19" s="2" t="str">
        <x:v>개인 문의 데이터도 함께 삭제</x:v>
      </x:c>
    </x:row>
    <x:row r="20" ht="51.95000076293945" customHeight="1">
      <x:c r="A20" s="2" t="str">
        <x:v>admins</x:v>
      </x:c>
      <x:c r="B20" s="2" t="str">
        <x:v>1:N</x:v>
      </x:c>
      <x:c r="C20" s="2" t="str">
        <x:v>notices</x:v>
      </x:c>
      <x:c r="D20" s="2" t="str">
        <x:v>공지 작성자 기록</x:v>
      </x:c>
      <x:c r="E20" s="2" t="str">
        <x:v>선택</x:v>
      </x:c>
      <x:c r="F20" s="2" t="str">
        <x:v>notices.created_by → admins.id</x:v>
      </x:c>
      <x:c r="G20" s="2" t="str">
        <x:v>SUPPORT-004/005</x:v>
      </x:c>
      <x:c r="H20" s="2" t="str">
        <x:v>초기 SQL 입력이면 NULL 가능</x:v>
      </x:c>
      <x:c r="I20" s="2" t="str">
        <x:v>-</x:v>
      </x:c>
    </x:row>
    <x:row r="21" ht="51.95000076293945" customHeight="1">
      <x:c r="A21" s="2" t="str">
        <x:v>road_nodes</x:v>
      </x:c>
      <x:c r="B21" s="2" t="str">
        <x:v>1:N</x:v>
      </x:c>
      <x:c r="C21" s="2" t="str">
        <x:v>road_links</x:v>
      </x:c>
      <x:c r="D21" s="2" t="str">
        <x:v>Node에서 여러 Link 시작/종료</x:v>
      </x:c>
      <x:c r="E21" s="2" t="str">
        <x:v>핵심</x:v>
      </x:c>
      <x:c r="F21" s="2" t="str">
        <x:v>from_node_id/to_node_id → road_nodes.id</x:v>
      </x:c>
      <x:c r="G21" s="2" t="str">
        <x:v>경로엔진</x:v>
      </x:c>
      <x:c r="H21" s="2" t="str">
        <x:v>양방향은 링크 2개 권장</x:v>
      </x:c>
      <x:c r="I21" s="2" t="str">
        <x:v>두 FK</x:v>
      </x:c>
    </x:row>
    <x:row r="22" ht="51.95000076293945" customHeight="1">
      <x:c r="A22" s="2" t="str">
        <x:v>road_links</x:v>
      </x:c>
      <x:c r="B22" s="2" t="str">
        <x:v>1:1</x:v>
      </x:c>
      <x:c r="C22" s="2" t="str">
        <x:v>road_link_features</x:v>
      </x:c>
      <x:c r="D22" s="2" t="str">
        <x:v>현재 전처리 특징 1세트</x:v>
      </x:c>
      <x:c r="E22" s="2" t="str">
        <x:v>핵심</x:v>
      </x:c>
      <x:c r="F22" s="2" t="str">
        <x:v>features.road_link_id PK/FK → road_links.id</x:v>
      </x:c>
      <x:c r="G22" s="2" t="str">
        <x:v>경로엔진</x:v>
      </x:c>
      <x:c r="H22" s="2" t="str">
        <x:v>버전 이력 필요 시 1:N</x:v>
      </x:c>
      <x:c r="I22" s="2" t="str">
        <x:v>-</x:v>
      </x:c>
    </x:row>
    <x:row r="23" ht="51.95000076293945" customHeight="1">
      <x:c r="A23" s="2" t="str">
        <x:v>road_links</x:v>
      </x:c>
      <x:c r="B23" s="2" t="str">
        <x:v>1:N</x:v>
      </x:c>
      <x:c r="C23" s="2" t="str">
        <x:v>road_risk_scores</x:v>
      </x:c>
      <x:c r="D23" s="2" t="str">
        <x:v>모델·시간대 위험 결과(선택)</x:v>
      </x:c>
      <x:c r="E23" s="2" t="str">
        <x:v>조건부</x:v>
      </x:c>
      <x:c r="F23" s="2" t="str">
        <x:v>risk.road_link_id → road_links.id</x:v>
      </x:c>
      <x:c r="G23" s="2" t="str">
        <x:v>경로엔진</x:v>
      </x:c>
      <x:c r="H23" s="2" t="str">
        <x:v>실시간 vs 영속화</x:v>
      </x:c>
      <x:c r="I23" s="2" t="str">
        <x:v>-</x:v>
      </x:c>
    </x:row>
    <x:row r="24" ht="51.95000076293945" customHeight="1">
      <x:c r="A24" s="2" t="str">
        <x:v>traffic_accidents</x:v>
      </x:c>
      <x:c r="B24" s="2" t="str">
        <x:v>N:1/공간</x:v>
      </x:c>
      <x:c r="C24" s="2" t="str">
        <x:v>road_links</x:v>
      </x:c>
      <x:c r="D24" s="2" t="str">
        <x:v>사고를 도로 링크에 매칭</x:v>
      </x:c>
      <x:c r="E24" s="9" t="str">
        <x:v>핵심</x:v>
      </x:c>
      <x:c r="F24" s="2" t="str">
        <x:v>matched_road_link_id 또는 spatial join</x:v>
      </x:c>
      <x:c r="G24" s="2" t="str">
        <x:v>경로엔진</x:v>
      </x:c>
      <x:c r="H24" s="2" t="str">
        <x:v>매칭 confidence 저장 권장</x:v>
      </x:c>
      <x:c r="I24" s="2" t="str">
        <x:v>PostGIS</x:v>
      </x:c>
    </x:row>
    <x:row r="25" ht="51.95000076293945" customHeight="1">
      <x:c r="A25" s="2" t="str">
        <x:v>service_areas</x:v>
      </x:c>
      <x:c r="B25" s="2" t="str">
        <x:v>공간판정</x:v>
      </x:c>
      <x:c r="C25" s="2" t="str">
        <x:v>경로 입력 좌표</x:v>
      </x:c>
      <x:c r="D25" s="2" t="str">
        <x:v>강남구 안/밖 판정</x:v>
      </x:c>
      <x:c r="E25" s="2" t="str">
        <x:v>핵심</x:v>
      </x:c>
      <x:c r="F25" s="2" t="str">
        <x:v>ST_Covers(service_area.geom, point)</x:v>
      </x:c>
      <x:c r="G25" s="2" t="str">
        <x:v>HOME/SRCH/ROUTE</x:v>
      </x:c>
      <x:c r="H25" s="2" t="str">
        <x:v>경계선 포함</x:v>
      </x:c>
      <x:c r="I25" s="2" t="str">
        <x:v>FK 아님</x:v>
      </x:c>
    </x:row>
    <x:row r="26" ht="51.95000076293945" customHeight="1">
      <x:c r="A26" s="2" t="str">
        <x:v>route_requests</x:v>
      </x:c>
      <x:c r="B26" s="2" t="str">
        <x:v>동일입력 집계</x:v>
      </x:c>
      <x:c r="C26" s="2" t="str">
        <x:v>route_requests</x:v>
      </x:c>
      <x:c r="D26" s="2" t="str">
        <x:v>반복 실패 횟수 계산</x:v>
      </x:c>
      <x:c r="E26" s="2" t="str">
        <x:v>핵심</x:v>
      </x:c>
      <x:c r="F26" s="2" t="str">
        <x:v>input_fingerprint 동등 비교</x:v>
      </x:c>
      <x:c r="G26" s="2" t="str">
        <x:v>A-ROUTE-004</x:v>
      </x:c>
      <x:c r="H26" s="2" t="str">
        <x:v>좌표 정규화 단위 확정</x:v>
      </x:c>
      <x:c r="I26" s="2" t="str">
        <x:v>self aggregation</x:v>
      </x:c>
    </x:row>
    <x:row r="27" ht="51.95000076293945" customHeight="1">
      <x:c r="A27" s="2"/>
      <x:c r="B27" s="2"/>
      <x:c r="C27" s="2"/>
      <x:c r="D27" s="2"/>
      <x:c r="E27" s="2"/>
      <x:c r="F27" s="2"/>
      <x:c r="G27" s="2"/>
      <x:c r="H27" s="2"/>
      <x:c r="I27" s="2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93cd679c4c9243d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7" customWidth="1"/>
    <x:col min="2" max="2" width="16" customWidth="1"/>
    <x:col min="3" max="3" width="30" customWidth="1"/>
    <x:col min="4" max="4" width="42" customWidth="1"/>
    <x:col min="5" max="5" width="66" customWidth="1"/>
    <x:col min="6" max="6" width="40" customWidth="1"/>
    <x:col min="7" max="7" width="28" customWidth="1"/>
    <x:col min="8" max="8" width="30" customWidth="1"/>
    <x:col min="9" max="9" width="16" customWidth="1"/>
    <x:col min="10" max="10" width="17" customWidth="1"/>
  </x:cols>
  <x:sheetData>
    <x:row r="1" ht="33.95000076293945" customHeight="1">
      <x:c r="A1" s="16" t="str">
        <x:v>정책·DB 결정사항</x:v>
      </x:c>
      <x:c r="B1" s="16"/>
      <x:c r="C1" s="16"/>
      <x:c r="D1" s="16"/>
      <x:c r="E1" s="16"/>
      <x:c r="F1" s="16"/>
      <x:c r="G1" s="16"/>
      <x:c r="H1" s="16"/>
      <x:c r="I1" s="16"/>
      <x:c r="J1" s="16"/>
    </x:row>
    <x:row r="2" ht="27.950000762939453" customHeight="1">
      <x:c r="A2" s="17" t="str">
        <x:v>확정 규칙과 남은 Backend/Data 팀 확인 항목을 분리 · 신고 관련 결정항목 제거</x:v>
      </x:c>
      <x:c r="B2" s="17"/>
      <x:c r="C2" s="17"/>
      <x:c r="D2" s="17"/>
      <x:c r="E2" s="17"/>
      <x:c r="F2" s="17"/>
      <x:c r="G2" s="17"/>
      <x:c r="H2" s="17"/>
      <x:c r="I2" s="17"/>
      <x:c r="J2" s="17"/>
    </x:row>
    <x:row r="3">
      <x:c r="A3"/>
      <x:c r="B3"/>
      <x:c r="C3"/>
      <x:c r="D3"/>
      <x:c r="E3"/>
      <x:c r="F3"/>
      <x:c r="G3"/>
      <x:c r="H3"/>
      <x:c r="I3"/>
      <x:c r="J3"/>
    </x:row>
    <x:row r="4" ht="33.95000076293945" customHeight="1">
      <x:c r="A4" s="6" t="str">
        <x:v>No</x:v>
      </x:c>
      <x:c r="B4" s="6" t="str">
        <x:v>상태구분</x:v>
      </x:c>
      <x:c r="C4" s="6" t="str">
        <x:v>결정할 내용</x:v>
      </x:c>
      <x:c r="D4" s="6" t="str">
        <x:v>DB 설계 영향</x:v>
      </x:c>
      <x:c r="E4" s="6" t="str">
        <x:v>권장/확정 방향</x:v>
      </x:c>
      <x:c r="F4" s="6" t="str">
        <x:v>관련 테이블</x:v>
      </x:c>
      <x:c r="G4" s="6" t="str">
        <x:v>관련 화면</x:v>
      </x:c>
      <x:c r="H4" s="6" t="str">
        <x:v>팀 결정</x:v>
      </x:c>
      <x:c r="I4" s="6" t="str">
        <x:v>상태</x:v>
      </x:c>
      <x:c r="J4" s="6" t="str">
        <x:v>결정일</x:v>
      </x:c>
    </x:row>
    <x:row r="5" ht="54" customHeight="1">
      <x:c r="A5" s="2" t="n">
        <x:v>1</x:v>
      </x:c>
      <x:c r="B5" s="7" t="str">
        <x:v>확정</x:v>
      </x:c>
      <x:c r="C5" s="2" t="str">
        <x:v>DB 인증 책임</x:v>
      </x:c>
      <x:c r="D5" s="2" t="str">
        <x:v>Supabase Auth 관련 테이블·FK 제외</x:v>
      </x:c>
      <x:c r="E5" s="2" t="str">
        <x:v>자체 Backend가 Local/OAuth/JWT·세션 관리; Supabase는 PostgreSQL+PostGIS</x:v>
      </x:c>
      <x:c r="F5" s="2" t="str">
        <x:v>users, auth_accounts, sessions</x:v>
      </x:c>
      <x:c r="G5" s="2" t="str">
        <x:v>AUTH</x:v>
      </x:c>
      <x:c r="H5" s="2" t="str">
        <x:v>확정</x:v>
      </x:c>
      <x:c r="I5" s="7" t="str">
        <x:v>확정</x:v>
      </x:c>
      <x:c r="J5" s="2" t="str">
        <x:v>2026-08-27</x:v>
      </x:c>
    </x:row>
    <x:row r="6" ht="54" customHeight="1">
      <x:c r="A6" s="2" t="n">
        <x:v>2</x:v>
      </x:c>
      <x:c r="B6" s="7" t="str">
        <x:v>확정</x:v>
      </x:c>
      <x:c r="C6" s="2" t="str">
        <x:v>Local 로그인 식별자</x:v>
      </x:c>
      <x:c r="D6" s="2" t="str">
        <x:v>users 제약·로그인 조회 인덱스</x:v>
      </x:c>
      <x:c r="E6" s="2" t="str">
        <x:v>아이디 또는 이메일 + 비밀번호</x:v>
      </x:c>
      <x:c r="F6" s="2" t="str">
        <x:v>users, auth_accounts</x:v>
      </x:c>
      <x:c r="G6" s="2" t="str">
        <x:v>AUTH-002</x:v>
      </x:c>
      <x:c r="H6" s="2" t="str">
        <x:v>확정</x:v>
      </x:c>
      <x:c r="I6" s="7" t="str">
        <x:v>확정</x:v>
      </x:c>
      <x:c r="J6" s="2" t="str">
        <x:v>2026-08-27</x:v>
      </x:c>
    </x:row>
    <x:row r="7" ht="54" customHeight="1">
      <x:c r="A7" s="2" t="n">
        <x:v>3</x:v>
      </x:c>
      <x:c r="B7" s="7" t="str">
        <x:v>확정</x:v>
      </x:c>
      <x:c r="C7" s="2" t="str">
        <x:v>회원가입 개인정보 범위</x:v>
      </x:c>
      <x:c r="D7" s="2" t="str">
        <x:v>users 컬럼 범위</x:v>
      </x:c>
      <x:c r="E7" s="2" t="str">
        <x:v>아이디·이메일·닉네임만; 이름·휴대폰번호 없음</x:v>
      </x:c>
      <x:c r="F7" s="2" t="str">
        <x:v>users</x:v>
      </x:c>
      <x:c r="G7" s="2" t="str">
        <x:v>AUTH-003/MY</x:v>
      </x:c>
      <x:c r="H7" s="2" t="str">
        <x:v>확정</x:v>
      </x:c>
      <x:c r="I7" s="7" t="str">
        <x:v>확정</x:v>
      </x:c>
      <x:c r="J7" s="2" t="str">
        <x:v>2026-08-27</x:v>
      </x:c>
    </x:row>
    <x:row r="8" ht="54" customHeight="1">
      <x:c r="A8" s="2" t="n">
        <x:v>4</x:v>
      </x:c>
      <x:c r="B8" s="9" t="str">
        <x:v>확정</x:v>
      </x:c>
      <x:c r="C8" s="2" t="str">
        <x:v>아이디 정규식</x:v>
      </x:c>
      <x:c r="D8" s="2" t="str">
        <x:v>username CHECK/Backend validation</x:v>
      </x:c>
      <x:c r="E8" s="2" t="str">
        <x:v>^[a-z][a-z0-9_]{4,19}$ · 영문 소문자로 시작, 소문자/숫자/_ 조합, 5~20자</x:v>
      </x:c>
      <x:c r="F8" s="2" t="str">
        <x:v>users</x:v>
      </x:c>
      <x:c r="G8" s="2" t="str">
        <x:v>AUTH-003</x:v>
      </x:c>
      <x:c r="H8" s="2" t="str">
        <x:v>확정</x:v>
      </x:c>
      <x:c r="I8" s="9" t="str">
        <x:v>확정</x:v>
      </x:c>
      <x:c r="J8" s="2" t="str">
        <x:v>2026-08-27</x:v>
      </x:c>
    </x:row>
    <x:row r="9" ht="54" customHeight="1">
      <x:c r="A9" s="2" t="n">
        <x:v>5</x:v>
      </x:c>
      <x:c r="B9" s="7" t="str">
        <x:v>확정</x:v>
      </x:c>
      <x:c r="C9" s="2" t="str">
        <x:v>비밀번호 규칙</x:v>
      </x:c>
      <x:c r="D9" s="2" t="str">
        <x:v>Backend validation 후 hash 저장</x:v>
      </x:c>
      <x:c r="E9" s="2" t="str">
        <x:v>^(?=.*[A-Za-z])(?=.*\d)(?=.*[!@#$%^&amp;*()_+\-=\[\]{};':"\\|,.&lt;&gt;/?])(?!.*\s).{8,20}$ · 영문+숫자+특수문자 각 1개 이상, 공백 금지, 8~20자</x:v>
      </x:c>
      <x:c r="F9" s="2" t="str">
        <x:v>auth_accounts</x:v>
      </x:c>
      <x:c r="G9" s="2" t="str">
        <x:v>AUTH-003/006</x:v>
      </x:c>
      <x:c r="H9" s="2" t="str">
        <x:v>확정</x:v>
      </x:c>
      <x:c r="I9" s="7" t="str">
        <x:v>확정</x:v>
      </x:c>
      <x:c r="J9" s="2" t="str">
        <x:v>2026-08-27</x:v>
      </x:c>
    </x:row>
    <x:row r="10" ht="54" customHeight="1">
      <x:c r="A10" s="2" t="n">
        <x:v>6</x:v>
      </x:c>
      <x:c r="B10" s="7" t="str">
        <x:v>확정</x:v>
      </x:c>
      <x:c r="C10" s="2" t="str">
        <x:v>이메일 인증·약관</x:v>
      </x:c>
      <x:c r="D10" s="2" t="str">
        <x:v>회원 생성·활성 여부</x:v>
      </x:c>
      <x:c r="E10" s="2" t="str">
        <x:v>Local은 이메일 인증+필수 3약관 동의 완료 후 가입 완료; users.is_active=true</x:v>
      </x:c>
      <x:c r="F10" s="2" t="str">
        <x:v>users, verifications, user_term_agreements</x:v>
      </x:c>
      <x:c r="G10" s="2" t="str">
        <x:v>AUTH-004/005</x:v>
      </x:c>
      <x:c r="H10" s="2" t="str">
        <x:v>확정</x:v>
      </x:c>
      <x:c r="I10" s="7" t="str">
        <x:v>확정</x:v>
      </x:c>
      <x:c r="J10" s="2" t="str">
        <x:v>2026-08-27</x:v>
      </x:c>
    </x:row>
    <x:row r="11" ht="54" customHeight="1">
      <x:c r="A11" s="2" t="n">
        <x:v>7</x:v>
      </x:c>
      <x:c r="B11" s="7" t="str">
        <x:v>확정</x:v>
      </x:c>
      <x:c r="C11" s="2" t="str">
        <x:v>소셜 가입 입력</x:v>
      </x:c>
      <x:c r="D11" s="2" t="str">
        <x:v>username/email NULL 제약에 영향</x:v>
      </x:c>
      <x:c r="E11" s="2" t="str">
        <x:v>NAVER/Kakao/Google 연동 후 별도 ID 입력 화면 없음</x:v>
      </x:c>
      <x:c r="F11" s="2" t="str">
        <x:v>users, auth_accounts</x:v>
      </x:c>
      <x:c r="G11" s="2" t="str">
        <x:v>AUTH-002/003</x:v>
      </x:c>
      <x:c r="H11" s="2" t="str">
        <x:v>확정</x:v>
      </x:c>
      <x:c r="I11" s="7" t="str">
        <x:v>확정</x:v>
      </x:c>
      <x:c r="J11" s="2" t="str">
        <x:v>2026-08-27</x:v>
      </x:c>
    </x:row>
    <x:row r="12" ht="54" customHeight="1">
      <x:c r="A12" s="2" t="n">
        <x:v>8</x:v>
      </x:c>
      <x:c r="B12" s="9" t="str">
        <x:v>확정</x:v>
      </x:c>
      <x:c r="C12" s="2" t="str">
        <x:v>동일 이메일 Local/소셜 연결</x:v>
      </x:c>
      <x:c r="D12" s="2" t="str">
        <x:v>users.email UNIQUE 유지</x:v>
      </x:c>
      <x:c r="E12" s="2" t="str">
        <x:v>동일 이메일의 Local/소셜 별도 가입 차단; 기존 계정 로그인 또는 추후 명시적 연결</x:v>
      </x:c>
      <x:c r="F12" s="2" t="str">
        <x:v>users, auth_accounts</x:v>
      </x:c>
      <x:c r="G12" s="2" t="str">
        <x:v>AUTH</x:v>
      </x:c>
      <x:c r="H12" s="2" t="str">
        <x:v>확정</x:v>
      </x:c>
      <x:c r="I12" s="9" t="str">
        <x:v>확정</x:v>
      </x:c>
      <x:c r="J12" s="2" t="str">
        <x:v>2026-08-27</x:v>
      </x:c>
    </x:row>
    <x:row r="13" ht="54" customHeight="1">
      <x:c r="A13" s="2" t="n">
        <x:v>9</x:v>
      </x:c>
      <x:c r="B13" s="7" t="str">
        <x:v>확정</x:v>
      </x:c>
      <x:c r="C13" s="2" t="str">
        <x:v>자동 로그인 기간</x:v>
      </x:c>
      <x:c r="D13" s="2" t="str">
        <x:v>세션 만료 컬럼</x:v>
      </x:c>
      <x:c r="E13" s="2" t="str">
        <x:v>최대 30일; refresh token 원문 대신 hash 저장</x:v>
      </x:c>
      <x:c r="F13" s="2" t="str">
        <x:v>user_sessions</x:v>
      </x:c>
      <x:c r="G13" s="2" t="str">
        <x:v>AUTH-001/002</x:v>
      </x:c>
      <x:c r="H13" s="2" t="str">
        <x:v>확정</x:v>
      </x:c>
      <x:c r="I13" s="7" t="str">
        <x:v>확정</x:v>
      </x:c>
      <x:c r="J13" s="2" t="str">
        <x:v>2026-08-27</x:v>
      </x:c>
    </x:row>
    <x:row r="14" ht="54" customHeight="1">
      <x:c r="A14" s="2" t="n">
        <x:v>10</x:v>
      </x:c>
      <x:c r="B14" s="2" t="str">
        <x:v>확정</x:v>
      </x:c>
      <x:c r="C14" s="2" t="str">
        <x:v>회원 row 생성 시점</x:v>
      </x:c>
      <x:c r="D14" s="2" t="str">
        <x:v>pending 상태 미사용; is_active boolean</x:v>
      </x:c>
      <x:c r="E14" s="2" t="str">
        <x:v>이메일 인증+필수 약관 동의 완료 시 users 생성, is_active=true; 탈퇴 시 false</x:v>
      </x:c>
      <x:c r="F14" s="2" t="str">
        <x:v>users</x:v>
      </x:c>
      <x:c r="G14" s="2" t="str">
        <x:v>AUTH-003~005</x:v>
      </x:c>
      <x:c r="H14" s="2" t="str">
        <x:v>확정</x:v>
      </x:c>
      <x:c r="I14" s="2" t="str">
        <x:v>확정</x:v>
      </x:c>
      <x:c r="J14" s="2" t="str">
        <x:v>2026-08-27</x:v>
      </x:c>
    </x:row>
    <x:row r="15" ht="54" customHeight="1">
      <x:c r="A15" s="2" t="n">
        <x:v>11</x:v>
      </x:c>
      <x:c r="B15" s="9" t="str">
        <x:v>확정</x:v>
      </x:c>
      <x:c r="C15" s="2" t="str">
        <x:v>회원탈퇴 데이터 처리</x:v>
      </x:c>
      <x:c r="D15" s="2" t="str">
        <x:v>soft delete 30일 + 이후 hard delete/CASCADE</x:v>
      </x:c>
      <x:c r="E15" s="2" t="str">
        <x:v>탈퇴 즉시 is_active=false, withdrawn_at 기록, 모든 세션 폐기 → 30일 보관 → 정기 cleanup job이 users hard delete → 사용자 연관 데이터 CASCADE 삭제</x:v>
      </x:c>
      <x:c r="F15" s="2" t="str">
        <x:v>users, auth_accounts, user_sessions, agreements, preferences, favorites, route_requests, inquiries</x:v>
      </x:c>
      <x:c r="G15" s="2" t="str">
        <x:v>MY/A-MEMBER</x:v>
      </x:c>
      <x:c r="H15" s="2" t="str">
        <x:v>확정</x:v>
      </x:c>
      <x:c r="I15" s="9" t="str">
        <x:v>확정</x:v>
      </x:c>
      <x:c r="J15" s="2" t="str">
        <x:v>2026-08-27</x:v>
      </x:c>
    </x:row>
    <x:row r="16" ht="54" customHeight="1">
      <x:c r="A16" s="2" t="n">
        <x:v>12</x:v>
      </x:c>
      <x:c r="B16" s="7" t="str">
        <x:v>확정</x:v>
      </x:c>
      <x:c r="C16" s="2" t="str">
        <x:v>위치 권한 범위</x:v>
      </x:c>
      <x:c r="D16" s="2" t="str">
        <x:v>위치 영속화 범위</x:v>
      </x:c>
      <x:c r="E16" s="2" t="str">
        <x:v>백그라운드 위치 없음; 거부 시 수동 출발지</x:v>
      </x:c>
      <x:c r="F16" s="2" t="str">
        <x:v>route_requests</x:v>
      </x:c>
      <x:c r="G16" s="2" t="str">
        <x:v>ONB/HOME/NAVI</x:v>
      </x:c>
      <x:c r="H16" s="2" t="str">
        <x:v>확정</x:v>
      </x:c>
      <x:c r="I16" s="7" t="str">
        <x:v>확정</x:v>
      </x:c>
      <x:c r="J16" s="2" t="str">
        <x:v>2026-08-27</x:v>
      </x:c>
    </x:row>
    <x:row r="17" ht="54" customHeight="1">
      <x:c r="A17" s="2" t="n">
        <x:v>13</x:v>
      </x:c>
      <x:c r="B17" s="7" t="str">
        <x:v>확정</x:v>
      </x:c>
      <x:c r="C17" s="2" t="str">
        <x:v>서비스 지역</x:v>
      </x:c>
      <x:c r="D17" s="2" t="str">
        <x:v>PostGIS 공간판정·실패코드</x:v>
      </x:c>
      <x:c r="E17" s="2" t="str">
        <x:v>강남구 MVP; 지역 밖 안내 후 경로 미생성</x:v>
      </x:c>
      <x:c r="F17" s="2" t="str">
        <x:v>service_areas, route_requests</x:v>
      </x:c>
      <x:c r="G17" s="2" t="str">
        <x:v>SRCH/ROUTE</x:v>
      </x:c>
      <x:c r="H17" s="2" t="str">
        <x:v>확정</x:v>
      </x:c>
      <x:c r="I17" s="7" t="str">
        <x:v>확정</x:v>
      </x:c>
      <x:c r="J17" s="2" t="str">
        <x:v>2026-08-27</x:v>
      </x:c>
    </x:row>
    <x:row r="18" ht="54" customHeight="1">
      <x:c r="A18" s="2" t="n">
        <x:v>14</x:v>
      </x:c>
      <x:c r="B18" s="7" t="str">
        <x:v>확정</x:v>
      </x:c>
      <x:c r="C18" s="2" t="str">
        <x:v>지도 제공자</x:v>
      </x:c>
      <x:c r="D18" s="2" t="str">
        <x:v>POI/지도 연동</x:v>
      </x:c>
      <x:c r="E18" s="2" t="str">
        <x:v>Kakao Maps 사용</x:v>
      </x:c>
      <x:c r="F18" s="2" t="str">
        <x:v>-</x:v>
      </x:c>
      <x:c r="G18" s="2" t="str">
        <x:v>지도 화면</x:v>
      </x:c>
      <x:c r="H18" s="2" t="str">
        <x:v>확정</x:v>
      </x:c>
      <x:c r="I18" s="7" t="str">
        <x:v>확정</x:v>
      </x:c>
      <x:c r="J18" s="2" t="str">
        <x:v>2026-08-27</x:v>
      </x:c>
    </x:row>
    <x:row r="19" ht="54" customHeight="1">
      <x:c r="A19" s="2" t="n">
        <x:v>15</x:v>
      </x:c>
      <x:c r="B19" s="7" t="str">
        <x:v>확정</x:v>
      </x:c>
      <x:c r="C19" s="2" t="str">
        <x:v>설문 저장·가중치</x:v>
      </x:c>
      <x:c r="D19" s="2" t="str">
        <x:v>preferences 컬럼·경로 비용</x:v>
      </x:c>
      <x:c r="E19" s="2" t="str">
        <x:v>DB는 1~5 원점수; 1~2→0.2, 3→0.5, 4~5→1.0</x:v>
      </x:c>
      <x:c r="F19" s="2" t="str">
        <x:v>driving_preferences</x:v>
      </x:c>
      <x:c r="G19" s="2" t="str">
        <x:v>ONB/경로엔진</x:v>
      </x:c>
      <x:c r="H19" s="2" t="str">
        <x:v>확정</x:v>
      </x:c>
      <x:c r="I19" s="7" t="str">
        <x:v>확정</x:v>
      </x:c>
      <x:c r="J19" s="2" t="str">
        <x:v>2026-08-27</x:v>
      </x:c>
    </x:row>
    <x:row r="20" ht="54" customHeight="1">
      <x:c r="A20" s="2" t="n">
        <x:v>16</x:v>
      </x:c>
      <x:c r="B20" s="2" t="str">
        <x:v>설계권장</x:v>
      </x:c>
      <x:c r="C20" s="2" t="str">
        <x:v>설문 저장 시점</x:v>
      </x:c>
      <x:c r="D20" s="2" t="str">
        <x:v>중간 저장/트랜잭션</x:v>
      </x:c>
      <x:c r="E20" s="2" t="str">
        <x:v>프론트 임시 유지 후 5문항을 한 트랜잭션으로 upsert</x:v>
      </x:c>
      <x:c r="F20" s="2" t="str">
        <x:v>driving_preferences</x:v>
      </x:c>
      <x:c r="G20" s="2" t="str">
        <x:v>ONB</x:v>
      </x:c>
      <x:c r="H20" s="2" t="str">
        <x:v>설계권장</x:v>
      </x:c>
      <x:c r="I20" s="2" t="str">
        <x:v>설계권장</x:v>
      </x:c>
      <x:c r="J20" s="2" t="str">
        <x:v>-</x:v>
      </x:c>
    </x:row>
    <x:row r="21" ht="54" customHeight="1">
      <x:c r="A21" s="2" t="n">
        <x:v>17</x:v>
      </x:c>
      <x:c r="B21" s="7" t="str">
        <x:v>확정</x:v>
      </x:c>
      <x:c r="C21" s="2" t="str">
        <x:v>즐겨찾기 제약</x:v>
      </x:c>
      <x:c r="D21" s="2" t="str">
        <x:v>개수·부분 UNIQUE</x:v>
      </x:c>
      <x:c r="E21" s="2" t="str">
        <x:v>전체 최대 5개; home/work 각 1개</x:v>
      </x:c>
      <x:c r="F21" s="2" t="str">
        <x:v>favorite_places</x:v>
      </x:c>
      <x:c r="G21" s="2" t="str">
        <x:v>HOME/SAVE</x:v>
      </x:c>
      <x:c r="H21" s="2" t="str">
        <x:v>확정</x:v>
      </x:c>
      <x:c r="I21" s="7" t="str">
        <x:v>확정</x:v>
      </x:c>
      <x:c r="J21" s="2" t="str">
        <x:v>2026-08-27</x:v>
      </x:c>
    </x:row>
    <x:row r="22" ht="54" customHeight="1">
      <x:c r="A22" s="2" t="n">
        <x:v>18</x:v>
      </x:c>
      <x:c r="B22" s="2" t="str">
        <x:v>설계권장</x:v>
      </x:c>
      <x:c r="C22" s="2" t="str">
        <x:v>최근 검색 저장</x:v>
      </x:c>
      <x:c r="D22" s="2" t="str">
        <x:v>recent_searches 생성 여부</x:v>
      </x:c>
      <x:c r="E22" s="2" t="str">
        <x:v>MVP 클라이언트 로컬 저장; 서버 동기화 시 조건부 테이블</x:v>
      </x:c>
      <x:c r="F22" s="2" t="str">
        <x:v>recent_searches</x:v>
      </x:c>
      <x:c r="G22" s="2" t="str">
        <x:v>SRCH-001</x:v>
      </x:c>
      <x:c r="H22" s="2" t="str">
        <x:v>설계권장</x:v>
      </x:c>
      <x:c r="I22" s="2" t="str">
        <x:v>설계권장</x:v>
      </x:c>
      <x:c r="J22" s="2" t="str">
        <x:v>-</x:v>
      </x:c>
    </x:row>
    <x:row r="23" ht="54" customHeight="1">
      <x:c r="A23" s="2" t="n">
        <x:v>19</x:v>
      </x:c>
      <x:c r="B23" s="7" t="str">
        <x:v>확정</x:v>
      </x:c>
      <x:c r="C23" s="2" t="str">
        <x:v>경로 분석 시작</x:v>
      </x:c>
      <x:c r="D23" s="2" t="str">
        <x:v>요청 생성 시점</x:v>
      </x:c>
      <x:c r="E23" s="2" t="str">
        <x:v>안심경로 찾기 CTA 후 시작; 즉시 자동 분석 없음</x:v>
      </x:c>
      <x:c r="F23" s="2" t="str">
        <x:v>route_requests</x:v>
      </x:c>
      <x:c r="G23" s="2" t="str">
        <x:v>ROUTE-001</x:v>
      </x:c>
      <x:c r="H23" s="2" t="str">
        <x:v>확정</x:v>
      </x:c>
      <x:c r="I23" s="7" t="str">
        <x:v>확정</x:v>
      </x:c>
      <x:c r="J23" s="2" t="str">
        <x:v>2026-08-27</x:v>
      </x:c>
    </x:row>
    <x:row r="24" ht="54" customHeight="1">
      <x:c r="A24" s="2" t="n">
        <x:v>20</x:v>
      </x:c>
      <x:c r="B24" s="9" t="str">
        <x:v>구현결정</x:v>
      </x:c>
      <x:c r="C24" s="2" t="str">
        <x:v>동기 응답 vs polling</x:v>
      </x:c>
      <x:c r="D24" s="2" t="str">
        <x:v>route_requests 상태·API 패턴</x:v>
      </x:c>
      <x:c r="E24" s="2" t="str">
        <x:v>10초 이상 처리 가능하면 비동기 job+polling 권장; 스키마는 양쪽 지원</x:v>
      </x:c>
      <x:c r="F24" s="2" t="str">
        <x:v>route_requests</x:v>
      </x:c>
      <x:c r="G24" s="2" t="str">
        <x:v>ROUTE-003</x:v>
      </x:c>
      <x:c r="H24" s="2" t="str">
        <x:v>Backend팀 결정</x:v>
      </x:c>
      <x:c r="I24" s="9" t="str">
        <x:v>팀 확인</x:v>
      </x:c>
      <x:c r="J24" s="2" t="str">
        <x:v>-</x:v>
      </x:c>
    </x:row>
    <x:row r="25" ht="54" customHeight="1">
      <x:c r="A25" s="2" t="n">
        <x:v>21</x:v>
      </x:c>
      <x:c r="B25" s="7" t="str">
        <x:v>확정</x:v>
      </x:c>
      <x:c r="C25" s="2" t="str">
        <x:v>지연·실패 UX</x:v>
      </x:c>
      <x:c r="D25" s="2" t="str">
        <x:v>상태·실패 원인 저장</x:v>
      </x:c>
      <x:c r="E25" s="2" t="str">
        <x:v>10초 초과 안내; 실패 시 재시도 제공</x:v>
      </x:c>
      <x:c r="F25" s="2" t="str">
        <x:v>route_requests</x:v>
      </x:c>
      <x:c r="G25" s="2" t="str">
        <x:v>ROUTE-003</x:v>
      </x:c>
      <x:c r="H25" s="2" t="str">
        <x:v>확정</x:v>
      </x:c>
      <x:c r="I25" s="7" t="str">
        <x:v>확정</x:v>
      </x:c>
      <x:c r="J25" s="2" t="str">
        <x:v>2026-08-27</x:v>
      </x:c>
    </x:row>
    <x:row r="26" ht="54" customHeight="1">
      <x:c r="A26" s="2" t="n">
        <x:v>22</x:v>
      </x:c>
      <x:c r="B26" s="7" t="str">
        <x:v>확정</x:v>
      </x:c>
      <x:c r="C26" s="2" t="str">
        <x:v>경로 후보·점수 노출</x:v>
      </x:c>
      <x:c r="D26" s="2" t="str">
        <x:v>candidate 구조</x:v>
      </x:c>
      <x:c r="E26" s="2" t="str">
        <x:v>안심/최단시간/최단거리 3종; 0~100 점수 없이 이유 설명</x:v>
      </x:c>
      <x:c r="F26" s="2" t="str">
        <x:v>route_candidates</x:v>
      </x:c>
      <x:c r="G26" s="2" t="str">
        <x:v>ROUTE-004</x:v>
      </x:c>
      <x:c r="H26" s="2" t="str">
        <x:v>확정</x:v>
      </x:c>
      <x:c r="I26" s="7" t="str">
        <x:v>확정</x:v>
      </x:c>
      <x:c r="J26" s="2" t="str">
        <x:v>2026-08-27</x:v>
      </x:c>
    </x:row>
    <x:row r="27" ht="54" customHeight="1">
      <x:c r="A27" s="2" t="n">
        <x:v>23</x:v>
      </x:c>
      <x:c r="B27" s="7" t="str">
        <x:v>확정</x:v>
      </x:c>
      <x:c r="C27" s="2" t="str">
        <x:v>Navigation 범위</x:v>
      </x:c>
      <x:c r="D27" s="2" t="str">
        <x:v>경로 구간 저장 필요성</x:v>
      </x:c>
      <x:c r="E27" s="2" t="str">
        <x:v>실제 턴바이턴 Navigation 포함</x:v>
      </x:c>
      <x:c r="F27" s="2" t="str">
        <x:v>route_candidates, candidate_links</x:v>
      </x:c>
      <x:c r="G27" s="2" t="str">
        <x:v>ROUTE-005/NAVI</x:v>
      </x:c>
      <x:c r="H27" s="2" t="str">
        <x:v>확정</x:v>
      </x:c>
      <x:c r="I27" s="7" t="str">
        <x:v>확정</x:v>
      </x:c>
      <x:c r="J27" s="2" t="str">
        <x:v>2026-08-27</x:v>
      </x:c>
    </x:row>
    <x:row r="28" ht="54" customHeight="1">
      <x:c r="A28" s="2" t="n">
        <x:v>24</x:v>
      </x:c>
      <x:c r="B28" s="2" t="str">
        <x:v>설계권장</x:v>
      </x:c>
      <x:c r="C28" s="2" t="str">
        <x:v>후보 도로링크 순서 저장</x:v>
      </x:c>
      <x:c r="D28" s="2" t="str">
        <x:v>candidate_links 필요 여부</x:v>
      </x:c>
      <x:c r="E28" s="2" t="str">
        <x:v>Navigation·관리자 재현을 위해 MVP 생성 권장</x:v>
      </x:c>
      <x:c r="F28" s="2" t="str">
        <x:v>route_candidate_links</x:v>
      </x:c>
      <x:c r="G28" s="2" t="str">
        <x:v>NAVI/A-ROUTE</x:v>
      </x:c>
      <x:c r="H28" s="2" t="str">
        <x:v>설계권장</x:v>
      </x:c>
      <x:c r="I28" s="2" t="str">
        <x:v>설계권장</x:v>
      </x:c>
      <x:c r="J28" s="2" t="str">
        <x:v>-</x:v>
      </x:c>
    </x:row>
    <x:row r="29" ht="54" customHeight="1">
      <x:c r="A29" s="2" t="n">
        <x:v>25</x:v>
      </x:c>
      <x:c r="B29" s="7" t="str">
        <x:v>확정</x:v>
      </x:c>
      <x:c r="C29" s="2" t="str">
        <x:v>성공·실패 경로 로그</x:v>
      </x:c>
      <x:c r="D29" s="2" t="str">
        <x:v>관리자 조회 컬럼</x:v>
      </x:c>
      <x:c r="E29" s="2" t="str">
        <x:v>입력값·좌표·요청시각·상태·실패원인·후보·선택을 서버 저장</x:v>
      </x:c>
      <x:c r="F29" s="2" t="str">
        <x:v>route_requests, candidates</x:v>
      </x:c>
      <x:c r="G29" s="2" t="str">
        <x:v>A-DATA/A-ROUTE</x:v>
      </x:c>
      <x:c r="H29" s="2" t="str">
        <x:v>확정</x:v>
      </x:c>
      <x:c r="I29" s="7" t="str">
        <x:v>확정</x:v>
      </x:c>
      <x:c r="J29" s="2" t="str">
        <x:v>2026-08-27</x:v>
      </x:c>
    </x:row>
    <x:row r="30" ht="54" customHeight="1">
      <x:c r="A30" s="2" t="n">
        <x:v>26</x:v>
      </x:c>
      <x:c r="B30" s="2" t="str">
        <x:v>설계권장</x:v>
      </x:c>
      <x:c r="C30" s="2" t="str">
        <x:v>동일입력 요청 정의</x:v>
      </x:c>
      <x:c r="D30" s="2" t="str">
        <x:v>fingerprint·인덱스</x:v>
      </x:c>
      <x:c r="E30" s="2" t="str">
        <x:v>좌표 정규화+출발/목적지+우회옵션 hash; COUNT로 횟수 계산</x:v>
      </x:c>
      <x:c r="F30" s="2" t="str">
        <x:v>route_requests</x:v>
      </x:c>
      <x:c r="G30" s="2" t="str">
        <x:v>A-ROUTE-004</x:v>
      </x:c>
      <x:c r="H30" s="2" t="str">
        <x:v>설계권장</x:v>
      </x:c>
      <x:c r="I30" s="2" t="str">
        <x:v>설계권장</x:v>
      </x:c>
      <x:c r="J30" s="2" t="str">
        <x:v>-</x:v>
      </x:c>
    </x:row>
    <x:row r="31" ht="54" customHeight="1">
      <x:c r="A31" s="2" t="n">
        <x:v>27</x:v>
      </x:c>
      <x:c r="B31" s="7" t="str">
        <x:v>확정</x:v>
      </x:c>
      <x:c r="C31" s="2" t="str">
        <x:v>관리자 IA·KPI</x:v>
      </x:c>
      <x:c r="D31" s="2" t="str">
        <x:v>관리자 테이블·조회 범위</x:v>
      </x:c>
      <x:c r="E31" s="2" t="str">
        <x:v>사이드바 3개; KPI 4개; 오늘 2시간 단위·연간 월별 그래프</x:v>
      </x:c>
      <x:c r="F31" s="2" t="str">
        <x:v>users, requests, updates</x:v>
      </x:c>
      <x:c r="G31" s="2" t="str">
        <x:v>A-DASH</x:v>
      </x:c>
      <x:c r="H31" s="2" t="str">
        <x:v>확정</x:v>
      </x:c>
      <x:c r="I31" s="7" t="str">
        <x:v>확정</x:v>
      </x:c>
      <x:c r="J31" s="2" t="str">
        <x:v>2026-08-27</x:v>
      </x:c>
    </x:row>
    <x:row r="32" ht="54" customHeight="1">
      <x:c r="A32" s="2" t="n">
        <x:v>28</x:v>
      </x:c>
      <x:c r="B32" s="7" t="str">
        <x:v>확정</x:v>
      </x:c>
      <x:c r="C32" s="2" t="str">
        <x:v>관리자 계정 발급</x:v>
      </x:c>
      <x:c r="D32" s="2" t="str">
        <x:v>권한·감사 이력</x:v>
      </x:c>
      <x:c r="E32" s="2" t="str">
        <x:v>Super Admin 1개가 운영 관리자 권한 부여·회수</x:v>
      </x:c>
      <x:c r="F32" s="2" t="str">
        <x:v>admins, admin_audit_logs</x:v>
      </x:c>
      <x:c r="G32" s="2" t="str">
        <x:v>A-ADMIN</x:v>
      </x:c>
      <x:c r="H32" s="2" t="str">
        <x:v>확정</x:v>
      </x:c>
      <x:c r="I32" s="7" t="str">
        <x:v>확정</x:v>
      </x:c>
      <x:c r="J32" s="2" t="str">
        <x:v>2026-08-27</x:v>
      </x:c>
    </x:row>
    <x:row r="33" ht="54" customHeight="1">
      <x:c r="A33" s="2" t="n">
        <x:v>29</x:v>
      </x:c>
      <x:c r="B33" s="2" t="str">
        <x:v>설계권장</x:v>
      </x:c>
      <x:c r="C33" s="2" t="str">
        <x:v>관리자 세션</x:v>
      </x:c>
      <x:c r="D33" s="2" t="str">
        <x:v>admin_sessions 필요</x:v>
      </x:c>
      <x:c r="E33" s="2" t="str">
        <x:v>일반 회원과 분리하고 더 짧은 만료시간 권장</x:v>
      </x:c>
      <x:c r="F33" s="2" t="str">
        <x:v>admin_sessions</x:v>
      </x:c>
      <x:c r="G33" s="2" t="str">
        <x:v>A-AUTH</x:v>
      </x:c>
      <x:c r="H33" s="2" t="str">
        <x:v>설계권장</x:v>
      </x:c>
      <x:c r="I33" s="2" t="str">
        <x:v>설계권장</x:v>
      </x:c>
      <x:c r="J33" s="2" t="str">
        <x:v>-</x:v>
      </x:c>
    </x:row>
    <x:row r="34" ht="54" customHeight="1">
      <x:c r="A34" s="2" t="n">
        <x:v>30</x:v>
      </x:c>
      <x:c r="B34" s="7" t="str">
        <x:v>확정</x:v>
      </x:c>
      <x:c r="C34" s="2" t="str">
        <x:v>데이터 소스 범위</x:v>
      </x:c>
      <x:c r="D34" s="2" t="str">
        <x:v>공간 원천 테이블</x:v>
      </x:c>
      <x:c r="E34" s="2" t="str">
        <x:v>TAAS + 표준노드링크 2종으로 MVP 구성</x:v>
      </x:c>
      <x:c r="F34" s="2" t="str">
        <x:v>traffic_accidents, road_nodes, road_links</x:v>
      </x:c>
      <x:c r="G34" s="2" t="str">
        <x:v>경로엔진/A-DATA</x:v>
      </x:c>
      <x:c r="H34" s="2" t="str">
        <x:v>확정</x:v>
      </x:c>
      <x:c r="I34" s="7" t="str">
        <x:v>확정</x:v>
      </x:c>
      <x:c r="J34" s="2" t="str">
        <x:v>2026-08-27</x:v>
      </x:c>
    </x:row>
    <x:row r="35" ht="54" customHeight="1">
      <x:c r="A35" s="2" t="n">
        <x:v>31</x:v>
      </x:c>
      <x:c r="B35" s="2" t="str">
        <x:v>설계권장</x:v>
      </x:c>
      <x:c r="C35" s="2" t="str">
        <x:v>데이터 갱신 건수 정의</x:v>
      </x:c>
      <x:c r="D35" s="2" t="str">
        <x:v>update log 컬럼</x:v>
      </x:c>
      <x:c r="E35" s="2" t="str">
        <x:v>대상=읽은 건수; 처리=성공+실패; 완료/실패를 분리</x:v>
      </x:c>
      <x:c r="F35" s="2" t="str">
        <x:v>data_update_logs</x:v>
      </x:c>
      <x:c r="G35" s="2" t="str">
        <x:v>A-DATA/A-DASH</x:v>
      </x:c>
      <x:c r="H35" s="2" t="str">
        <x:v>설계권장</x:v>
      </x:c>
      <x:c r="I35" s="2" t="str">
        <x:v>설계권장</x:v>
      </x:c>
      <x:c r="J35" s="2" t="str">
        <x:v>-</x:v>
      </x:c>
    </x:row>
    <x:row r="36" ht="54" customHeight="1">
      <x:c r="A36" s="2" t="n">
        <x:v>32</x:v>
      </x:c>
      <x:c r="B36" s="9" t="str">
        <x:v>팀 확인</x:v>
      </x:c>
      <x:c r="C36" s="2" t="str">
        <x:v>공간 좌표계</x:v>
      </x:c>
      <x:c r="D36" s="2" t="str">
        <x:v>geometry 타입·거리 계산</x:v>
      </x:c>
      <x:c r="E36" s="2" t="str">
        <x:v>저장은 EPSG:4326; 거리/버퍼 분석은 적정 투영좌표로 변환</x:v>
      </x:c>
      <x:c r="F36" s="2" t="str">
        <x:v>service_areas, nodes, links, accidents</x:v>
      </x:c>
      <x:c r="G36" s="2" t="str">
        <x:v>지도/경로</x:v>
      </x:c>
      <x:c r="H36" s="2" t="str">
        <x:v>Data팀 확인</x:v>
      </x:c>
      <x:c r="I36" s="9" t="str">
        <x:v>팀 확인</x:v>
      </x:c>
      <x:c r="J36" s="2" t="str">
        <x:v>-</x:v>
      </x:c>
    </x:row>
    <x:row r="37" ht="54" customHeight="1">
      <x:c r="A37" s="2" t="n">
        <x:v>33</x:v>
      </x:c>
      <x:c r="B37" s="2" t="str">
        <x:v>설계권장</x:v>
      </x:c>
      <x:c r="C37" s="2" t="str">
        <x:v>원천 링크와 Feature 분리</x:v>
      </x:c>
      <x:c r="D37" s="2" t="str">
        <x:v>ETL·재처리</x:v>
      </x:c>
      <x:c r="E37" s="2" t="str">
        <x:v>road_links / road_link_features 분리</x:v>
      </x:c>
      <x:c r="F37" s="2" t="str">
        <x:v>road_links, road_link_features</x:v>
      </x:c>
      <x:c r="G37" s="2" t="str">
        <x:v>경로엔진</x:v>
      </x:c>
      <x:c r="H37" s="2" t="str">
        <x:v>설계권장</x:v>
      </x:c>
      <x:c r="I37" s="2" t="str">
        <x:v>설계권장</x:v>
      </x:c>
      <x:c r="J37" s="2" t="str">
        <x:v>-</x:v>
      </x:c>
    </x:row>
    <x:row r="38" ht="54" customHeight="1">
      <x:c r="A38" s="2" t="n">
        <x:v>34</x:v>
      </x:c>
      <x:c r="B38" s="9" t="str">
        <x:v>팀 확인</x:v>
      </x:c>
      <x:c r="C38" s="2" t="str">
        <x:v>위험도 결과 영속화</x:v>
      </x:c>
      <x:c r="D38" s="2" t="str">
        <x:v>road_risk_scores 필요 여부</x:v>
      </x:c>
      <x:c r="E38" s="2" t="str">
        <x:v>초기에는 요청 시 계산; 성능 이슈 시 버전별 저장</x:v>
      </x:c>
      <x:c r="F38" s="2" t="str">
        <x:v>road_risk_scores</x:v>
      </x:c>
      <x:c r="G38" s="2" t="str">
        <x:v>경로엔진</x:v>
      </x:c>
      <x:c r="H38" s="2" t="str">
        <x:v>모델팀 확인</x:v>
      </x:c>
      <x:c r="I38" s="9" t="str">
        <x:v>팀 확인</x:v>
      </x:c>
      <x:c r="J38" s="2" t="str">
        <x:v>-</x:v>
      </x:c>
    </x:row>
    <x:row r="39" ht="54" customHeight="1">
      <x:c r="A39" s="2" t="n">
        <x:v>35</x:v>
      </x:c>
      <x:c r="B39" s="2" t="str">
        <x:v>설계권장</x:v>
      </x:c>
      <x:c r="C39" s="2" t="str">
        <x:v>공지·문의 운영</x:v>
      </x:c>
      <x:c r="D39" s="2" t="str">
        <x:v>지원 테이블 범위</x:v>
      </x:c>
      <x:c r="E39" s="2" t="str">
        <x:v>notices/inquiries는 DB 저장; 관리자 편집·답변 UI는 후속</x:v>
      </x:c>
      <x:c r="F39" s="2" t="str">
        <x:v>notices, inquiries</x:v>
      </x:c>
      <x:c r="G39" s="2" t="str">
        <x:v>SUPPORT</x:v>
      </x:c>
      <x:c r="H39" s="2" t="str">
        <x:v>설계권장</x:v>
      </x:c>
      <x:c r="I39" s="2" t="str">
        <x:v>설계권장</x:v>
      </x:c>
      <x:c r="J39" s="2" t="str">
        <x:v>-</x:v>
      </x:c>
    </x:row>
    <x:row r="40" ht="54" customHeight="1">
      <x:c r="A40" s="2" t="n">
        <x:v>36</x:v>
      </x:c>
      <x:c r="B40" s="7" t="str">
        <x:v>확정</x:v>
      </x:c>
      <x:c r="C40" s="2" t="str">
        <x:v>신고 기능 제외</x:v>
      </x:c>
      <x:c r="D40" s="2" t="str">
        <x:v>화면·API·DB·집계 범위</x:v>
      </x:c>
      <x:c r="E40" s="2" t="str">
        <x:v>사용자·관리자 신고 화면 및 road_reports 계열 전부 생성 금지</x:v>
      </x:c>
      <x:c r="F40" s="2" t="str">
        <x:v>-</x:v>
      </x:c>
      <x:c r="G40" s="2" t="str">
        <x:v>전 영역</x:v>
      </x:c>
      <x:c r="H40" s="2" t="str">
        <x:v>확정</x:v>
      </x:c>
      <x:c r="I40" s="7" t="str">
        <x:v>확정</x:v>
      </x:c>
      <x:c r="J40" s="2" t="str">
        <x:v>2026-08-27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2c3275e4d1b64e9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40" customWidth="1"/>
    <x:col min="2" max="2" width="18" customWidth="1"/>
    <x:col min="3" max="4" width="45" customWidth="1"/>
    <x:col min="5" max="5" width="28" customWidth="1"/>
    <x:col min="6" max="6" width="50" customWidth="1"/>
  </x:cols>
  <x:sheetData>
    <x:row r="1" ht="33.95000076293945" customHeight="1">
      <x:c r="A1" s="16" t="s">
        <x:v>219</x:v>
      </x:c>
      <x:c r="B1" s="16"/>
      <x:c r="C1" s="16"/>
      <x:c r="D1" s="16"/>
      <x:c r="E1" s="16"/>
      <x:c r="F1" s="16"/>
    </x:row>
    <x:row r="2" ht="27.950000762939453" customHeight="1">
      <x:c r="A2" s="17" t="s">
        <x:v>220</x:v>
      </x:c>
      <x:c r="B2" s="17"/>
      <x:c r="C2" s="17"/>
      <x:c r="D2" s="17"/>
      <x:c r="E2" s="17"/>
      <x:c r="F2" s="17"/>
    </x:row>
    <x:row r="4" ht="33.95000076293945" customHeight="1">
      <x:c r="A4" s="6" t="s">
        <x:v>221</x:v>
      </x:c>
      <x:c r="B4" s="6" t="s">
        <x:v>222</x:v>
      </x:c>
      <x:c r="C4" s="6" t="s">
        <x:v>223</x:v>
      </x:c>
      <x:c r="D4" s="6" t="s">
        <x:v>224</x:v>
      </x:c>
      <x:c r="E4" s="6" t="s">
        <x:v>225</x:v>
      </x:c>
      <x:c r="F4" s="6" t="s">
        <x:v>38</x:v>
      </x:c>
    </x:row>
    <x:row r="5" ht="48" customHeight="1">
      <x:c r="A5" s="2" t="s">
        <x:v>226</x:v>
      </x:c>
      <x:c r="B5" s="8" t="s">
        <x:v>227</x:v>
      </x:c>
      <x:c r="C5" s="2" t="s">
        <x:v>228</x:v>
      </x:c>
      <x:c r="D5" s="2" t="s">
        <x:v>229</x:v>
      </x:c>
      <x:c r="E5" s="2" t="s">
        <x:v>230</x:v>
      </x:c>
      <x:c r="F5" s="2" t="s">
        <x:v>231</x:v>
      </x:c>
    </x:row>
    <x:row r="6" ht="48" customHeight="1">
      <x:c r="A6" s="2" t="s">
        <x:v>232</x:v>
      </x:c>
      <x:c r="B6" s="8" t="s">
        <x:v>227</x:v>
      </x:c>
      <x:c r="C6" s="2" t="s">
        <x:v>233</x:v>
      </x:c>
      <x:c r="D6" s="2" t="s">
        <x:v>234</x:v>
      </x:c>
      <x:c r="E6" s="2" t="s">
        <x:v>235</x:v>
      </x:c>
      <x:c r="F6" s="2" t="s">
        <x:v>236</x:v>
      </x:c>
    </x:row>
    <x:row r="7" ht="48" customHeight="1">
      <x:c r="A7" s="2" t="s">
        <x:v>237</x:v>
      </x:c>
      <x:c r="B7" s="8" t="s">
        <x:v>227</x:v>
      </x:c>
      <x:c r="C7" s="2" t="s">
        <x:v>238</x:v>
      </x:c>
      <x:c r="D7" s="2" t="s">
        <x:v>239</x:v>
      </x:c>
      <x:c r="E7" s="2" t="s">
        <x:v>240</x:v>
      </x:c>
      <x:c r="F7" s="2" t="s">
        <x:v>163</x:v>
      </x:c>
    </x:row>
    <x:row r="8" ht="48" customHeight="1">
      <x:c r="A8" s="2" t="s">
        <x:v>241</x:v>
      </x:c>
      <x:c r="B8" s="8" t="s">
        <x:v>227</x:v>
      </x:c>
      <x:c r="C8" s="2" t="s">
        <x:v>242</x:v>
      </x:c>
      <x:c r="D8" s="2" t="s">
        <x:v>243</x:v>
      </x:c>
      <x:c r="E8" s="2" t="s">
        <x:v>244</x:v>
      </x:c>
      <x:c r="F8" s="2" t="s">
        <x:v>163</x:v>
      </x:c>
    </x:row>
    <x:row r="9" ht="48" customHeight="1">
      <x:c r="A9" s="2" t="s">
        <x:v>245</x:v>
      </x:c>
      <x:c r="B9" s="8" t="s">
        <x:v>227</x:v>
      </x:c>
      <x:c r="C9" s="2" t="s">
        <x:v>246</x:v>
      </x:c>
      <x:c r="D9" s="2" t="s">
        <x:v>247</x:v>
      </x:c>
      <x:c r="E9" s="2" t="s">
        <x:v>230</x:v>
      </x:c>
      <x:c r="F9" s="2" t="s">
        <x:v>248</x:v>
      </x:c>
    </x:row>
    <x:row r="10" ht="48" customHeight="1">
      <x:c r="A10" s="2" t="s">
        <x:v>249</x:v>
      </x:c>
      <x:c r="B10" s="8" t="s">
        <x:v>227</x:v>
      </x:c>
      <x:c r="C10" s="2" t="s">
        <x:v>250</x:v>
      </x:c>
      <x:c r="D10" s="2" t="s">
        <x:v>251</x:v>
      </x:c>
      <x:c r="E10" s="2" t="s">
        <x:v>252</x:v>
      </x:c>
      <x:c r="F10" s="2" t="s">
        <x:v>163</x:v>
      </x:c>
    </x:row>
    <x:row r="11" ht="48" customHeight="1">
      <x:c r="A11" s="2" t="s">
        <x:v>253</x:v>
      </x:c>
      <x:c r="B11" s="8" t="s">
        <x:v>227</x:v>
      </x:c>
      <x:c r="C11" s="2" t="s">
        <x:v>254</x:v>
      </x:c>
      <x:c r="D11" s="2" t="s">
        <x:v>255</x:v>
      </x:c>
      <x:c r="E11" s="2" t="s">
        <x:v>256</x:v>
      </x:c>
      <x:c r="F11" s="2" t="s">
        <x:v>257</x:v>
      </x:c>
    </x:row>
    <x:row r="12" ht="48" customHeight="1">
      <x:c r="A12" s="2" t="s">
        <x:v>258</x:v>
      </x:c>
      <x:c r="B12" s="8" t="s">
        <x:v>259</x:v>
      </x:c>
      <x:c r="C12" s="2" t="s">
        <x:v>260</x:v>
      </x:c>
      <x:c r="D12" s="2" t="s">
        <x:v>261</x:v>
      </x:c>
      <x:c r="E12" s="2" t="s">
        <x:v>262</x:v>
      </x:c>
      <x:c r="F12" s="2" t="s">
        <x:v>263</x:v>
      </x:c>
    </x:row>
    <x:row r="13" ht="48" customHeight="1">
      <x:c r="A13" s="2" t="s">
        <x:v>264</x:v>
      </x:c>
      <x:c r="B13" s="8" t="s">
        <x:v>227</x:v>
      </x:c>
      <x:c r="C13" s="2" t="s">
        <x:v>265</x:v>
      </x:c>
      <x:c r="D13" s="2" t="s">
        <x:v>266</x:v>
      </x:c>
      <x:c r="E13" s="2" t="s">
        <x:v>267</x:v>
      </x:c>
      <x:c r="F13" s="2" t="s">
        <x:v>268</x:v>
      </x:c>
    </x:row>
    <x:row r="14" ht="48" customHeight="1">
      <x:c r="A14" s="2" t="s">
        <x:v>269</x:v>
      </x:c>
      <x:c r="B14" s="8" t="s">
        <x:v>227</x:v>
      </x:c>
      <x:c r="C14" s="2" t="s">
        <x:v>270</x:v>
      </x:c>
      <x:c r="D14" s="2" t="s">
        <x:v>271</x:v>
      </x:c>
      <x:c r="E14" s="2" t="s">
        <x:v>272</x:v>
      </x:c>
      <x:c r="F14" s="2" t="s">
        <x:v>163</x:v>
      </x:c>
    </x:row>
    <x:row r="15" ht="48" customHeight="1">
      <x:c r="A15" s="2" t="s">
        <x:v>273</x:v>
      </x:c>
      <x:c r="B15" s="8" t="s">
        <x:v>259</x:v>
      </x:c>
      <x:c r="C15" s="2" t="s">
        <x:v>274</x:v>
      </x:c>
      <x:c r="D15" s="2" t="s">
        <x:v>275</x:v>
      </x:c>
      <x:c r="E15" s="2" t="s">
        <x:v>276</x:v>
      </x:c>
      <x:c r="F15" s="2" t="s">
        <x:v>277</x:v>
      </x:c>
    </x:row>
    <x:row r="16" ht="48" customHeight="1">
      <x:c r="A16" s="2" t="s">
        <x:v>278</x:v>
      </x:c>
      <x:c r="B16" s="8" t="s">
        <x:v>227</x:v>
      </x:c>
      <x:c r="C16" s="2" t="s">
        <x:v>279</x:v>
      </x:c>
      <x:c r="D16" s="2" t="s">
        <x:v>280</x:v>
      </x:c>
      <x:c r="E16" s="2" t="s">
        <x:v>281</x:v>
      </x:c>
      <x:c r="F16" s="2" t="s">
        <x:v>163</x:v>
      </x:c>
    </x:row>
    <x:row r="17" ht="48" customHeight="1">
      <x:c r="A17" s="2" t="s">
        <x:v>282</x:v>
      </x:c>
      <x:c r="B17" s="8" t="s">
        <x:v>227</x:v>
      </x:c>
      <x:c r="C17" s="2" t="s">
        <x:v>283</x:v>
      </x:c>
      <x:c r="D17" s="2" t="s">
        <x:v>284</x:v>
      </x:c>
      <x:c r="E17" s="2" t="s">
        <x:v>285</x:v>
      </x:c>
      <x:c r="F17" s="2" t="s">
        <x:v>286</x:v>
      </x:c>
    </x:row>
    <x:row r="18" ht="48" customHeight="1">
      <x:c r="A18" s="2" t="s">
        <x:v>287</x:v>
      </x:c>
      <x:c r="B18" s="8" t="s">
        <x:v>227</x:v>
      </x:c>
      <x:c r="C18" s="2" t="s">
        <x:v>270</x:v>
      </x:c>
      <x:c r="D18" s="2" t="s">
        <x:v>271</x:v>
      </x:c>
      <x:c r="E18" s="2" t="s">
        <x:v>288</x:v>
      </x:c>
      <x:c r="F18" s="2" t="s">
        <x:v>163</x:v>
      </x:c>
    </x:row>
    <x:row r="19" ht="48" customHeight="1">
      <x:c r="A19" s="2" t="s">
        <x:v>289</x:v>
      </x:c>
      <x:c r="B19" s="8" t="s">
        <x:v>227</x:v>
      </x:c>
      <x:c r="C19" s="2" t="s">
        <x:v>290</x:v>
      </x:c>
      <x:c r="D19" s="2" t="s">
        <x:v>291</x:v>
      </x:c>
      <x:c r="E19" s="2" t="s">
        <x:v>292</x:v>
      </x:c>
      <x:c r="F19" s="2" t="s">
        <x:v>293</x:v>
      </x:c>
    </x:row>
    <x:row r="20" ht="48" customHeight="1">
      <x:c r="A20" s="2" t="s">
        <x:v>294</x:v>
      </x:c>
      <x:c r="B20" s="8" t="s">
        <x:v>227</x:v>
      </x:c>
      <x:c r="C20" s="2" t="s">
        <x:v>295</x:v>
      </x:c>
      <x:c r="D20" s="2" t="s">
        <x:v>271</x:v>
      </x:c>
      <x:c r="E20" s="2" t="s">
        <x:v>296</x:v>
      </x:c>
      <x:c r="F20" s="2" t="s">
        <x:v>163</x:v>
      </x:c>
    </x:row>
    <x:row r="21" ht="48" customHeight="1">
      <x:c r="A21" s="2" t="s">
        <x:v>297</x:v>
      </x:c>
      <x:c r="B21" s="8" t="s">
        <x:v>227</x:v>
      </x:c>
      <x:c r="C21" s="2" t="s">
        <x:v>270</x:v>
      </x:c>
      <x:c r="D21" s="2" t="s">
        <x:v>271</x:v>
      </x:c>
      <x:c r="E21" s="2" t="s">
        <x:v>285</x:v>
      </x:c>
      <x:c r="F21" s="2" t="s">
        <x:v>298</x:v>
      </x:c>
    </x:row>
    <x:row r="22" ht="48" customHeight="1">
      <x:c r="A22" s="2" t="s">
        <x:v>299</x:v>
      </x:c>
      <x:c r="B22" s="8" t="s">
        <x:v>259</x:v>
      </x:c>
      <x:c r="C22" s="2" t="s">
        <x:v>300</x:v>
      </x:c>
      <x:c r="D22" s="2" t="s">
        <x:v>301</x:v>
      </x:c>
      <x:c r="E22" s="2" t="s">
        <x:v>302</x:v>
      </x:c>
      <x:c r="F22" s="2" t="s">
        <x:v>303</x:v>
      </x:c>
    </x:row>
    <x:row r="23" ht="48" customHeight="1">
      <x:c r="A23" s="2" t="s">
        <x:v>304</x:v>
      </x:c>
      <x:c r="B23" s="8" t="s">
        <x:v>227</x:v>
      </x:c>
      <x:c r="C23" s="2" t="s">
        <x:v>305</x:v>
      </x:c>
      <x:c r="D23" s="2" t="s">
        <x:v>306</x:v>
      </x:c>
      <x:c r="E23" s="2" t="s">
        <x:v>209</x:v>
      </x:c>
      <x:c r="F23" s="2" t="s">
        <x:v>307</x:v>
      </x:c>
    </x:row>
    <x:row r="24" ht="48" customHeight="1">
      <x:c r="A24" s="2" t="s">
        <x:v>308</x:v>
      </x:c>
      <x:c r="B24" s="8" t="s">
        <x:v>259</x:v>
      </x:c>
      <x:c r="C24" s="2" t="s">
        <x:v>309</x:v>
      </x:c>
      <x:c r="D24" s="2" t="s">
        <x:v>310</x:v>
      </x:c>
      <x:c r="E24" s="2" t="s">
        <x:v>129</x:v>
      </x:c>
      <x:c r="F24" s="2" t="s">
        <x:v>311</x:v>
      </x:c>
    </x:row>
    <x:row r="25" ht="48" customHeight="1">
      <x:c r="A25" s="2" t="s">
        <x:v>312</x:v>
      </x:c>
      <x:c r="B25" s="8" t="s">
        <x:v>227</x:v>
      </x:c>
      <x:c r="C25" s="2" t="s">
        <x:v>313</x:v>
      </x:c>
      <x:c r="D25" s="2" t="s">
        <x:v>314</x:v>
      </x:c>
      <x:c r="E25" s="2" t="s">
        <x:v>315</x:v>
      </x:c>
      <x:c r="F25" s="2" t="s">
        <x:v>316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a81ce3482946491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20" customWidth="1"/>
    <x:col min="2" max="2" width="31" customWidth="1"/>
    <x:col min="3" max="3" width="52" customWidth="1"/>
    <x:col min="4" max="4" width="34" customWidth="1"/>
    <x:col min="5" max="5" width="42" customWidth="1"/>
    <x:col min="6" max="6" width="60" customWidth="1"/>
    <x:col min="7" max="7" width="12" customWidth="1"/>
    <x:col min="8" max="8" width="17" customWidth="1"/>
    <x:col min="9" max="9" width="46" customWidth="1"/>
    <x:col min="10" max="10" width="42" customWidth="1"/>
    <x:col min="11" max="11" width="28" customWidth="1"/>
  </x:cols>
  <x:sheetData>
    <x:row r="1" ht="33.95000076293945" customHeight="1">
      <x:c r="A1" s="16" t="str">
        <x:v>화면 ↔ DB 역매핑 검증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</x:row>
    <x:row r="2" ht="27.950000762939453" customHeight="1">
      <x:c r="A2" s="17" t="str">
        <x:v>모든 최종 화면이 실제 테이블·컬럼·CRUD로 연결되는지 확인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</x:row>
    <x:row r="3">
      <x:c r="A3"/>
      <x:c r="B3"/>
      <x:c r="C3"/>
      <x:c r="D3"/>
      <x:c r="E3"/>
      <x:c r="F3"/>
      <x:c r="G3"/>
      <x:c r="H3"/>
      <x:c r="I3"/>
      <x:c r="J3"/>
      <x:c r="K3"/>
    </x:row>
    <x:row r="4" ht="33.95000076293945" customHeight="1">
      <x:c r="A4" s="6" t="str">
        <x:v>화면 ID</x:v>
      </x:c>
      <x:c r="B4" s="6" t="str">
        <x:v>화면명</x:v>
      </x:c>
      <x:c r="C4" s="6" t="str">
        <x:v>필요 데이터 요약</x:v>
      </x:c>
      <x:c r="D4" s="6" t="str">
        <x:v>예상 Entity</x:v>
      </x:c>
      <x:c r="E4" s="6" t="str">
        <x:v>실제 테이블</x:v>
      </x:c>
      <x:c r="F4" s="6" t="str">
        <x:v>실제 컬럼/관계</x:v>
      </x:c>
      <x:c r="G4" s="6" t="str">
        <x:v>CRUD</x:v>
      </x:c>
      <x:c r="H4" s="6" t="str">
        <x:v>검증 상태</x:v>
      </x:c>
      <x:c r="I4" s="6" t="str">
        <x:v>누락/이슈</x:v>
      </x:c>
      <x:c r="J4" s="6" t="str">
        <x:v>조치사항</x:v>
      </x:c>
      <x:c r="K4" s="6" t="str">
        <x:v>검증자/일자</x:v>
      </x:c>
    </x:row>
    <x:row r="5" ht="60" customHeight="1">
      <x:c r="A5" s="2" t="str">
        <x:v>M-AUTH-001</x:v>
      </x:c>
      <x:c r="B5" s="2" t="str">
        <x:v>Splash</x:v>
      </x:c>
      <x:c r="C5" s="2" t="str">
        <x:v>세션 유효 여부, 만료일, 사용자 ID, 온보딩 완료 여부</x:v>
      </x:c>
      <x:c r="D5" s="2" t="str">
        <x:v>회원, 사용자세션, 운전부담설정</x:v>
      </x:c>
      <x:c r="E5" s="2" t="str">
        <x:v>users, user_sessions, driving_preferences</x:v>
      </x:c>
      <x:c r="F5" s="2" t="str">
        <x:v>user_sessions.expires_at/revoked_at; driving_preferences.completed_at</x:v>
      </x:c>
      <x:c r="G5" s="2" t="str">
        <x:v>R</x:v>
      </x:c>
      <x:c r="H5" s="7" t="str">
        <x:v>매핑 완료</x:v>
      </x:c>
      <x:c r="I5" s="2" t="str">
        <x:v>-</x:v>
      </x:c>
      <x:c r="J5" s="2" t="str">
        <x:v>-</x:v>
      </x:c>
      <x:c r="K5" s="2" t="str">
        <x:v>DB 설계팀 / 2026-08-27</x:v>
      </x:c>
    </x:row>
    <x:row r="6" ht="60" customHeight="1">
      <x:c r="A6" s="2" t="str">
        <x:v>M-AUTH-002</x:v>
      </x:c>
      <x:c r="B6" s="2" t="str">
        <x:v>로그인</x:v>
      </x:c>
      <x:c r="C6" s="2" t="str">
        <x:v>아이디 또는 이메일, 인증 결과, 로그인 방식, 사용자·설문 상태</x:v>
      </x:c>
      <x:c r="D6" s="2" t="str">
        <x:v>회원, 인증계정, 사용자세션</x:v>
      </x:c>
      <x:c r="E6" s="2" t="str">
        <x:v>users, auth_accounts, user_sessions</x:v>
      </x:c>
      <x:c r="F6" s="2" t="str">
        <x:v>users.username/email/is_active; auth_accounts.provider/provider_subject/password_hash</x:v>
      </x:c>
      <x:c r="G6" s="2" t="str">
        <x:v>R/C</x:v>
      </x:c>
      <x:c r="H6" s="7" t="str">
        <x:v>매핑 완료</x:v>
      </x:c>
      <x:c r="I6" s="2" t="str">
        <x:v>-</x:v>
      </x:c>
      <x:c r="J6" s="2" t="str">
        <x:v>users.email UNIQUE로 동일 이메일 별도 가입 차단</x:v>
      </x:c>
      <x:c r="K6" s="2" t="str">
        <x:v>DB 설계팀 / 2026-08-27</x:v>
      </x:c>
    </x:row>
    <x:row r="7" ht="60" customHeight="1">
      <x:c r="A7" s="2" t="str">
        <x:v>M-AUTH-003</x:v>
      </x:c>
      <x:c r="B7" s="2" t="str">
        <x:v>회원가입</x:v>
      </x:c>
      <x:c r="C7" s="2" t="str">
        <x:v>아이디, 이메일, 비밀번호, 확인값, 닉네임, 중복 여부</x:v>
      </x:c>
      <x:c r="D7" s="2" t="str">
        <x:v>회원, 인증계정</x:v>
      </x:c>
      <x:c r="E7" s="2" t="str">
        <x:v>users, auth_accounts</x:v>
      </x:c>
      <x:c r="F7" s="2" t="str">
        <x:v>users.username/email/nickname/is_active; auth_accounts.password_hash</x:v>
      </x:c>
      <x:c r="G7" s="2" t="str">
        <x:v>C</x:v>
      </x:c>
      <x:c r="H7" s="7" t="str">
        <x:v>매핑 완료</x:v>
      </x:c>
      <x:c r="I7" s="2" t="str">
        <x:v>-</x:v>
      </x:c>
      <x:c r="J7" s="2" t="str">
        <x:v>정규식/이메일 lowercase 정책 05 시트 확정</x:v>
      </x:c>
      <x:c r="K7" s="2" t="str">
        <x:v>DB 설계팀 / 2026-08-27</x:v>
      </x:c>
    </x:row>
    <x:row r="8" ht="60" customHeight="1">
      <x:c r="A8" s="2" t="str">
        <x:v>M-AUTH-004</x:v>
      </x:c>
      <x:c r="B8" s="2" t="str">
        <x:v>이메일 인증</x:v>
      </x:c>
      <x:c r="C8" s="2" t="str">
        <x:v>이메일, 인증코드, 만료시각, 인증·재전송 상태</x:v>
      </x:c>
      <x:c r="D8" s="2" t="str">
        <x:v>이메일인증</x:v>
      </x:c>
      <x:c r="E8" s="2" t="str">
        <x:v>email_verifications</x:v>
      </x:c>
      <x:c r="F8" s="2" t="str">
        <x:v>email/code_hash/purpose/expires_at/verified_at/attempt_count</x:v>
      </x:c>
      <x:c r="G8" s="2" t="str">
        <x:v>C/R/U</x:v>
      </x:c>
      <x:c r="H8" s="7" t="str">
        <x:v>매핑 완료</x:v>
      </x:c>
      <x:c r="I8" s="2" t="str">
        <x:v>-</x:v>
      </x:c>
      <x:c r="J8" s="2" t="str">
        <x:v>-</x:v>
      </x:c>
      <x:c r="K8" s="2" t="str">
        <x:v>DB 설계팀 / 2026-08-27</x:v>
      </x:c>
    </x:row>
    <x:row r="9" ht="60" customHeight="1">
      <x:c r="A9" s="2" t="str">
        <x:v>M-AUTH-005</x:v>
      </x:c>
      <x:c r="B9" s="2" t="str">
        <x:v>필수 약관 동의</x:v>
      </x:c>
      <x:c r="C9" s="2" t="str">
        <x:v>서비스·개인정보·위치기반서비스 필수 3종 동의</x:v>
      </x:c>
      <x:c r="D9" s="2" t="str">
        <x:v>약관동의</x:v>
      </x:c>
      <x:c r="E9" s="2" t="str">
        <x:v>user_term_agreements, users</x:v>
      </x:c>
      <x:c r="F9" s="2" t="str">
        <x:v>user_term_agreements.agreed_at; users.is_active</x:v>
      </x:c>
      <x:c r="G9" s="2" t="str">
        <x:v>C/R</x:v>
      </x:c>
      <x:c r="H9" s="7" t="str">
        <x:v>매핑 완료</x:v>
      </x:c>
      <x:c r="I9" s="2" t="str">
        <x:v>약관 본문은 Frontend 하드코딩</x:v>
      </x:c>
      <x:c r="J9" s="2" t="str">
        <x:v>동의 완료 시 사용자당 1건 기록</x:v>
      </x:c>
      <x:c r="K9" s="2" t="str">
        <x:v>DB 설계팀 / 2026-08-27</x:v>
      </x:c>
    </x:row>
    <x:row r="10" ht="60" customHeight="1">
      <x:c r="A10" s="2" t="str">
        <x:v>M-AUTH-006</x:v>
      </x:c>
      <x:c r="B10" s="2" t="str">
        <x:v>비밀번호 재설정</x:v>
      </x:c>
      <x:c r="C10" s="2" t="str">
        <x:v>이메일, 인증상태, 새 비밀번호</x:v>
      </x:c>
      <x:c r="D10" s="2" t="str">
        <x:v>이메일인증, 인증계정</x:v>
      </x:c>
      <x:c r="E10" s="2" t="str">
        <x:v>email_verifications, auth_accounts, user_sessions</x:v>
      </x:c>
      <x:c r="F10" s="2" t="str">
        <x:v>email_verifications.purpose/verified_at; auth_accounts.password_hash</x:v>
      </x:c>
      <x:c r="G10" s="2" t="str">
        <x:v>C/R/U</x:v>
      </x:c>
      <x:c r="H10" s="7" t="str">
        <x:v>매핑 완료</x:v>
      </x:c>
      <x:c r="I10" s="2" t="str">
        <x:v>-</x:v>
      </x:c>
      <x:c r="J10" s="2" t="str">
        <x:v>-</x:v>
      </x:c>
      <x:c r="K10" s="2" t="str">
        <x:v>DB 설계팀 / 2026-08-27</x:v>
      </x:c>
    </x:row>
    <x:row r="11" ht="60" customHeight="1">
      <x:c r="A11" s="2" t="str">
        <x:v>M-ONB-001</x:v>
      </x:c>
      <x:c r="B11" s="2" t="str">
        <x:v>위치 권한</x:v>
      </x:c>
      <x:c r="C11" s="2" t="str">
        <x:v>위치 권한 상태, 현재 GPS, 수동 출발지 여부</x:v>
      </x:c>
      <x:c r="D11" s="2" t="str">
        <x:v>위치상태(비영속)</x:v>
      </x:c>
      <x:c r="E11" s="2" t="str">
        <x:v>-</x:v>
      </x:c>
      <x:c r="F11" s="2" t="str">
        <x:v>-</x:v>
      </x:c>
      <x:c r="G11" s="2" t="str">
        <x:v>-</x:v>
      </x:c>
      <x:c r="H11" s="7" t="str">
        <x:v>매핑 완료</x:v>
      </x:c>
      <x:c r="I11" s="2" t="str">
        <x:v>런타임 상태만 사용</x:v>
      </x:c>
      <x:c r="J11" s="2" t="str">
        <x:v>05 정책 시트에서 확정</x:v>
      </x:c>
      <x:c r="K11" s="2" t="str">
        <x:v>DB 설계팀 / 2026-08-27</x:v>
      </x:c>
    </x:row>
    <x:row r="12" ht="60" customHeight="1">
      <x:c r="A12" s="2" t="str">
        <x:v>M-ONB-002-01</x:v>
      </x:c>
      <x:c r="B12" s="2" t="str">
        <x:v>설문1 복잡·신호없는 교차로</x:v>
      </x:c>
      <x:c r="C12" s="2" t="str">
        <x:v>사용자 ID, 문항1 원점수</x:v>
      </x:c>
      <x:c r="D12" s="2" t="str">
        <x:v>운전부담설정</x:v>
      </x:c>
      <x:c r="E12" s="2" t="str">
        <x:v>driving_preferences</x:v>
      </x:c>
      <x:c r="F12" s="2" t="str">
        <x:v>intersection_score</x:v>
      </x:c>
      <x:c r="G12" s="2" t="str">
        <x:v>C/U</x:v>
      </x:c>
      <x:c r="H12" s="7" t="str">
        <x:v>매핑 완료</x:v>
      </x:c>
      <x:c r="I12" s="2" t="str">
        <x:v>라우팅 시 1~2→0.2, 3→0.5, 4~5→1.0</x:v>
      </x:c>
      <x:c r="J12" s="2" t="str">
        <x:v>05 정책 시트에서 확정</x:v>
      </x:c>
      <x:c r="K12" s="2" t="str">
        <x:v>DB 설계팀 / 2026-08-27</x:v>
      </x:c>
    </x:row>
    <x:row r="13" ht="60" customHeight="1">
      <x:c r="A13" s="2" t="str">
        <x:v>M-ONB-002-02</x:v>
      </x:c>
      <x:c r="B13" s="2" t="str">
        <x:v>설문2 보행자·어린이 보호구역</x:v>
      </x:c>
      <x:c r="C13" s="2" t="str">
        <x:v>사용자 ID, 문항2 원점수</x:v>
      </x:c>
      <x:c r="D13" s="2" t="str">
        <x:v>운전부담설정</x:v>
      </x:c>
      <x:c r="E13" s="2" t="str">
        <x:v>driving_preferences</x:v>
      </x:c>
      <x:c r="F13" s="2" t="str">
        <x:v>pedestrian_zone_score</x:v>
      </x:c>
      <x:c r="G13" s="2" t="str">
        <x:v>C/U</x:v>
      </x:c>
      <x:c r="H13" s="7" t="str">
        <x:v>매핑 완료</x:v>
      </x:c>
      <x:c r="I13" s="2" t="str">
        <x:v>공통 가중치 규칙 적용</x:v>
      </x:c>
      <x:c r="J13" s="2" t="str">
        <x:v>05 정책 시트에서 확정</x:v>
      </x:c>
      <x:c r="K13" s="2" t="str">
        <x:v>DB 설계팀 / 2026-08-27</x:v>
      </x:c>
    </x:row>
    <x:row r="14" ht="60" customHeight="1">
      <x:c r="A14" s="2" t="str">
        <x:v>M-ONB-002-03</x:v>
      </x:c>
      <x:c r="B14" s="2" t="str">
        <x:v>설문3 좁은 도로·골목길</x:v>
      </x:c>
      <x:c r="C14" s="2" t="str">
        <x:v>사용자 ID, 문항3 원점수</x:v>
      </x:c>
      <x:c r="D14" s="2" t="str">
        <x:v>운전부담설정</x:v>
      </x:c>
      <x:c r="E14" s="2" t="str">
        <x:v>driving_preferences</x:v>
      </x:c>
      <x:c r="F14" s="2" t="str">
        <x:v>narrow_road_score</x:v>
      </x:c>
      <x:c r="G14" s="2" t="str">
        <x:v>C/U</x:v>
      </x:c>
      <x:c r="H14" s="7" t="str">
        <x:v>매핑 완료</x:v>
      </x:c>
      <x:c r="I14" s="2" t="str">
        <x:v>공통 가중치 규칙 적용</x:v>
      </x:c>
      <x:c r="J14" s="2" t="str">
        <x:v>05 정책 시트에서 확정</x:v>
      </x:c>
      <x:c r="K14" s="2" t="str">
        <x:v>DB 설계팀 / 2026-08-27</x:v>
      </x:c>
    </x:row>
    <x:row r="15" ht="60" customHeight="1">
      <x:c r="A15" s="2" t="str">
        <x:v>M-ONB-002-04</x:v>
      </x:c>
      <x:c r="B15" s="2" t="str">
        <x:v>설문4 좌회전·유턴</x:v>
      </x:c>
      <x:c r="C15" s="2" t="str">
        <x:v>사용자 ID, 문항4 원점수</x:v>
      </x:c>
      <x:c r="D15" s="2" t="str">
        <x:v>운전부담설정</x:v>
      </x:c>
      <x:c r="E15" s="2" t="str">
        <x:v>driving_preferences</x:v>
      </x:c>
      <x:c r="F15" s="2" t="str">
        <x:v>turn_conflict_score</x:v>
      </x:c>
      <x:c r="G15" s="2" t="str">
        <x:v>C/U</x:v>
      </x:c>
      <x:c r="H15" s="7" t="str">
        <x:v>매핑 완료</x:v>
      </x:c>
      <x:c r="I15" s="2" t="str">
        <x:v>공통 가중치 규칙 적용</x:v>
      </x:c>
      <x:c r="J15" s="2" t="str">
        <x:v>05 정책 시트에서 확정</x:v>
      </x:c>
      <x:c r="K15" s="2" t="str">
        <x:v>DB 설계팀 / 2026-08-27</x:v>
      </x:c>
    </x:row>
    <x:row r="16" ht="60" customHeight="1">
      <x:c r="A16" s="2" t="str">
        <x:v>M-ONB-002-05</x:v>
      </x:c>
      <x:c r="B16" s="2" t="str">
        <x:v>설문5 터널·지하차도·교량</x:v>
      </x:c>
      <x:c r="C16" s="2" t="str">
        <x:v>사용자 ID, 문항5 원점수</x:v>
      </x:c>
      <x:c r="D16" s="2" t="str">
        <x:v>운전부담설정</x:v>
      </x:c>
      <x:c r="E16" s="2" t="str">
        <x:v>driving_preferences</x:v>
      </x:c>
      <x:c r="F16" s="2" t="str">
        <x:v>structure_score</x:v>
      </x:c>
      <x:c r="G16" s="2" t="str">
        <x:v>C/U</x:v>
      </x:c>
      <x:c r="H16" s="7" t="str">
        <x:v>매핑 완료</x:v>
      </x:c>
      <x:c r="I16" s="2" t="str">
        <x:v>공통 가중치 규칙 적용</x:v>
      </x:c>
      <x:c r="J16" s="2" t="str">
        <x:v>05 정책 시트에서 확정</x:v>
      </x:c>
      <x:c r="K16" s="2" t="str">
        <x:v>DB 설계팀 / 2026-08-27</x:v>
      </x:c>
    </x:row>
    <x:row r="17" ht="60" customHeight="1">
      <x:c r="A17" s="2" t="str">
        <x:v>M-ONB-003</x:v>
      </x:c>
      <x:c r="B17" s="2" t="str">
        <x:v>설문 완료</x:v>
      </x:c>
      <x:c r="C17" s="2" t="str">
        <x:v>5개 원점수, 높은 부담 항목, 완료시각</x:v>
      </x:c>
      <x:c r="D17" s="2" t="str">
        <x:v>운전부담설정</x:v>
      </x:c>
      <x:c r="E17" s="2" t="str">
        <x:v>driving_preferences</x:v>
      </x:c>
      <x:c r="F17" s="2" t="str">
        <x:v>5 score columns; completed_at</x:v>
      </x:c>
      <x:c r="G17" s="2" t="str">
        <x:v>C/U/R</x:v>
      </x:c>
      <x:c r="H17" s="7" t="str">
        <x:v>매핑 완료</x:v>
      </x:c>
      <x:c r="I17" s="2" t="str">
        <x:v>원점수만 저장하고 가중치는 계산</x:v>
      </x:c>
      <x:c r="J17" s="2" t="str">
        <x:v>05 정책 시트에서 확정</x:v>
      </x:c>
      <x:c r="K17" s="2" t="str">
        <x:v>DB 설계팀 / 2026-08-27</x:v>
      </x:c>
    </x:row>
    <x:row r="18" ht="60" customHeight="1">
      <x:c r="A18" s="2" t="str">
        <x:v>M-HOME-001</x:v>
      </x:c>
      <x:c r="B18" s="2" t="str">
        <x:v>홈 지도</x:v>
      </x:c>
      <x:c r="C18" s="2" t="str">
        <x:v>현재 GPS, 집/회사/저장 장소, 서비스영역, 지도 POI</x:v>
      </x:c>
      <x:c r="D18" s="2" t="str">
        <x:v>즐겨찾기, 서비스영역</x:v>
      </x:c>
      <x:c r="E18" s="2" t="str">
        <x:v>favorite_places, service_areas</x:v>
      </x:c>
      <x:c r="F18" s="2" t="str">
        <x:v>favorite_places.*; service_areas.geom</x:v>
      </x:c>
      <x:c r="G18" s="2" t="str">
        <x:v>R</x:v>
      </x:c>
      <x:c r="H18" s="7" t="str">
        <x:v>매핑 완료</x:v>
      </x:c>
      <x:c r="I18" s="2" t="str">
        <x:v>-</x:v>
      </x:c>
      <x:c r="J18" s="2" t="str">
        <x:v>-</x:v>
      </x:c>
      <x:c r="K18" s="2" t="str">
        <x:v>DB 설계팀 / 2026-08-27</x:v>
      </x:c>
    </x:row>
    <x:row r="19" ht="60" customHeight="1">
      <x:c r="A19" s="2" t="str">
        <x:v>M-SRCH-001</x:v>
      </x:c>
      <x:c r="B19" s="2" t="str">
        <x:v>출발지/목적지 검색</x:v>
      </x:c>
      <x:c r="C19" s="2" t="str">
        <x:v>출발지, 검색어, Kakao 결과, 최근검색, 즐겨찾기, 거리</x:v>
      </x:c>
      <x:c r="D19" s="2" t="str">
        <x:v>즐겨찾기, 최근검색(조건부)</x:v>
      </x:c>
      <x:c r="E19" s="2" t="str">
        <x:v>favorite_places; recent_searches(조건부)</x:v>
      </x:c>
      <x:c r="F19" s="2" t="str">
        <x:v>favorite_places.*</x:v>
      </x:c>
      <x:c r="G19" s="2" t="str">
        <x:v>R</x:v>
      </x:c>
      <x:c r="H19" s="7" t="str">
        <x:v>매핑 완료</x:v>
      </x:c>
      <x:c r="I19" s="2" t="str">
        <x:v>최근검색 서버 동기화 시 조건부 테이블 사용</x:v>
      </x:c>
      <x:c r="J19" s="2" t="str">
        <x:v>05 정책 시트에서 확정</x:v>
      </x:c>
      <x:c r="K19" s="2" t="str">
        <x:v>DB 설계팀 / 2026-08-27</x:v>
      </x:c>
    </x:row>
    <x:row r="20" ht="60" customHeight="1">
      <x:c r="A20" s="2" t="str">
        <x:v>M-SRCH-002</x:v>
      </x:c>
      <x:c r="B20" s="2" t="str">
        <x:v>검색 결과</x:v>
      </x:c>
      <x:c r="C20" s="2" t="str">
        <x:v>장소명, 주소, 좌표, 거리, 서비스지역 여부</x:v>
      </x:c>
      <x:c r="D20" s="2" t="str">
        <x:v>서비스영역</x:v>
      </x:c>
      <x:c r="E20" s="2" t="str">
        <x:v>service_areas</x:v>
      </x:c>
      <x:c r="F20" s="2" t="str">
        <x:v>service_areas.geom/is_active</x:v>
      </x:c>
      <x:c r="G20" s="2" t="str">
        <x:v>R</x:v>
      </x:c>
      <x:c r="H20" s="7" t="str">
        <x:v>매핑 완료</x:v>
      </x:c>
      <x:c r="I20" s="2" t="str">
        <x:v>-</x:v>
      </x:c>
      <x:c r="J20" s="2" t="str">
        <x:v>-</x:v>
      </x:c>
      <x:c r="K20" s="2" t="str">
        <x:v>DB 설계팀 / 2026-08-27</x:v>
      </x:c>
    </x:row>
    <x:row r="21" ht="60" customHeight="1">
      <x:c r="A21" s="2" t="str">
        <x:v>M-ROUTE-001</x:v>
      </x:c>
      <x:c r="B21" s="2" t="str">
        <x:v>목적지 확인</x:v>
      </x:c>
      <x:c r="C21" s="2" t="str">
        <x:v>사용자·출발/목적지 명·주소·좌표·최대우회·지역판정</x:v>
      </x:c>
      <x:c r="D21" s="2" t="str">
        <x:v>경로요청</x:v>
      </x:c>
      <x:c r="E21" s="2" t="str">
        <x:v>route_requests, service_areas</x:v>
      </x:c>
      <x:c r="F21" s="2" t="str">
        <x:v>origin/destination fields; max_detour_minutes; status</x:v>
      </x:c>
      <x:c r="G21" s="2" t="str">
        <x:v>C</x:v>
      </x:c>
      <x:c r="H21" s="7" t="str">
        <x:v>매핑 완료</x:v>
      </x:c>
      <x:c r="I21" s="2" t="str">
        <x:v>-</x:v>
      </x:c>
      <x:c r="J21" s="2" t="str">
        <x:v>-</x:v>
      </x:c>
      <x:c r="K21" s="2" t="str">
        <x:v>DB 설계팀 / 2026-08-27</x:v>
      </x:c>
    </x:row>
    <x:row r="22" ht="60" customHeight="1">
      <x:c r="A22" s="2" t="str">
        <x:v>M-ROUTE-002</x:v>
      </x:c>
      <x:c r="B22" s="2" t="str">
        <x:v>경로 옵션</x:v>
      </x:c>
      <x:c r="C22" s="2" t="str">
        <x:v>사용 안 함</x:v>
      </x:c>
      <x:c r="D22" s="2" t="str">
        <x:v>-</x:v>
      </x:c>
      <x:c r="E22" s="2" t="str">
        <x:v>-</x:v>
      </x:c>
      <x:c r="F22" s="2" t="str">
        <x:v>-</x:v>
      </x:c>
      <x:c r="G22" s="2" t="str">
        <x:v>-</x:v>
      </x:c>
      <x:c r="H22" s="8" t="str">
        <x:v>제외 확인</x:v>
      </x:c>
      <x:c r="I22" s="2" t="str">
        <x:v>Deprecated ID만 보존</x:v>
      </x:c>
      <x:c r="J22" s="2" t="str">
        <x:v>화면/API/DB 생성 금지</x:v>
      </x:c>
      <x:c r="K22" s="2" t="str">
        <x:v>DB 설계팀 / 2026-08-27</x:v>
      </x:c>
    </x:row>
    <x:row r="23" ht="60" customHeight="1">
      <x:c r="A23" s="2" t="str">
        <x:v>M-ROUTE-003</x:v>
      </x:c>
      <x:c r="B23" s="2" t="str">
        <x:v>경로 계산</x:v>
      </x:c>
      <x:c r="C23" s="2" t="str">
        <x:v>요청 ID, 상태, 시작·경과시간, 실패코드·메시지</x:v>
      </x:c>
      <x:c r="D23" s="2" t="str">
        <x:v>경로요청</x:v>
      </x:c>
      <x:c r="E23" s="2" t="str">
        <x:v>route_requests</x:v>
      </x:c>
      <x:c r="F23" s="2" t="str">
        <x:v>status/failure_code/failure_message/started_at/completed_at/duration_ms</x:v>
      </x:c>
      <x:c r="G23" s="2" t="str">
        <x:v>R/U/C</x:v>
      </x:c>
      <x:c r="H23" s="7" t="str">
        <x:v>매핑 완료</x:v>
      </x:c>
      <x:c r="I23" s="2" t="str">
        <x:v>동기 응답 vs polling은 05 시트 확인</x:v>
      </x:c>
      <x:c r="J23" s="2" t="str">
        <x:v>05 정책 시트에서 확정</x:v>
      </x:c>
      <x:c r="K23" s="2" t="str">
        <x:v>DB 설계팀 / 2026-08-27</x:v>
      </x:c>
    </x:row>
    <x:row r="24" ht="60" customHeight="1">
      <x:c r="A24" s="2" t="str">
        <x:v>M-ROUTE-004</x:v>
      </x:c>
      <x:c r="B24" s="2" t="str">
        <x:v>경로 비교</x:v>
      </x:c>
      <x:c r="C24" s="2" t="str">
        <x:v>요청 ID, 3종 후보, 시간, 거리, 특징, 차이, 이유, 선형경로, 선택 여부</x:v>
      </x:c>
      <x:c r="D24" s="2" t="str">
        <x:v>경로요청, 경로후보</x:v>
      </x:c>
      <x:c r="E24" s="2" t="str">
        <x:v>route_requests, route_candidates</x:v>
      </x:c>
      <x:c r="F24" s="2" t="str">
        <x:v>route_candidates.route_type/time/distance/reasons/geom/is_selected</x:v>
      </x:c>
      <x:c r="G24" s="2" t="str">
        <x:v>R/U</x:v>
      </x:c>
      <x:c r="H24" s="7" t="str">
        <x:v>매핑 완료</x:v>
      </x:c>
      <x:c r="I24" s="2" t="str">
        <x:v>-</x:v>
      </x:c>
      <x:c r="J24" s="2" t="str">
        <x:v>-</x:v>
      </x:c>
      <x:c r="K24" s="2" t="str">
        <x:v>DB 설계팀 / 2026-08-27</x:v>
      </x:c>
    </x:row>
    <x:row r="25" ht="60" customHeight="1">
      <x:c r="A25" s="2" t="str">
        <x:v>M-ROUTE-005</x:v>
      </x:c>
      <x:c r="B25" s="2" t="str">
        <x:v>경로 상세</x:v>
      </x:c>
      <x:c r="C25" s="2" t="str">
        <x:v>선택 후보, 전체 경로, 시간, 거리, 특징, 주의요소, 구간 순서</x:v>
      </x:c>
      <x:c r="D25" s="2" t="str">
        <x:v>경로후보, 후보경로구간</x:v>
      </x:c>
      <x:c r="E25" s="2" t="str">
        <x:v>route_candidates, route_candidate_links, road_links</x:v>
      </x:c>
      <x:c r="F25" s="2" t="str">
        <x:v>candidate geom/reasons; candidate_links.seq/road_link_id</x:v>
      </x:c>
      <x:c r="G25" s="2" t="str">
        <x:v>R</x:v>
      </x:c>
      <x:c r="H25" s="7" t="str">
        <x:v>매핑 완료</x:v>
      </x:c>
      <x:c r="I25" s="2" t="str">
        <x:v>-</x:v>
      </x:c>
      <x:c r="J25" s="2" t="str">
        <x:v>-</x:v>
      </x:c>
      <x:c r="K25" s="2" t="str">
        <x:v>DB 설계팀 / 2026-08-27</x:v>
      </x:c>
    </x:row>
    <x:row r="26" ht="60" customHeight="1">
      <x:c r="A26" s="2" t="str">
        <x:v>M-NAVI-001</x:v>
      </x:c>
      <x:c r="B26" s="2" t="str">
        <x:v>실제 길안내</x:v>
      </x:c>
      <x:c r="C26" s="2" t="str">
        <x:v>선택경로, 현재 GPS, 다음 회전, 도로명, 차선, 남은시간·거리, 주의구간</x:v>
      </x:c>
      <x:c r="D26" s="2" t="str">
        <x:v>경로후보, 후보경로구간, 도로링크</x:v>
      </x:c>
      <x:c r="E26" s="2" t="str">
        <x:v>route_candidates, route_candidate_links, road_links</x:v>
      </x:c>
      <x:c r="F26" s="2" t="str">
        <x:v>route geom; segment sequence; road attributes</x:v>
      </x:c>
      <x:c r="G26" s="2" t="str">
        <x:v>R</x:v>
      </x:c>
      <x:c r="H26" s="7" t="str">
        <x:v>매핑 완료</x:v>
      </x:c>
      <x:c r="I26" s="2" t="str">
        <x:v>실시간 주행 이력은 MVP 저장 제외</x:v>
      </x:c>
      <x:c r="J26" s="2" t="str">
        <x:v>05 정책 시트에서 확정</x:v>
      </x:c>
      <x:c r="K26" s="2" t="str">
        <x:v>DB 설계팀 / 2026-08-27</x:v>
      </x:c>
    </x:row>
    <x:row r="27" ht="60" customHeight="1">
      <x:c r="A27" s="2" t="str">
        <x:v>M-SAVE-001</x:v>
      </x:c>
      <x:c r="B27" s="2" t="str">
        <x:v>즐겨찾기</x:v>
      </x:c>
      <x:c r="C27" s="2" t="str">
        <x:v>사용자, 장소명, 별칭, 주소, 좌표, 장소구분</x:v>
      </x:c>
      <x:c r="D27" s="2" t="str">
        <x:v>즐겨찾기</x:v>
      </x:c>
      <x:c r="E27" s="2" t="str">
        <x:v>favorite_places</x:v>
      </x:c>
      <x:c r="F27" s="2" t="str">
        <x:v>user_id/place_type/place_name/custom_name/address/geom</x:v>
      </x:c>
      <x:c r="G27" s="2" t="str">
        <x:v>C/R/U/D</x:v>
      </x:c>
      <x:c r="H27" s="7" t="str">
        <x:v>매핑 완료</x:v>
      </x:c>
      <x:c r="I27" s="2" t="str">
        <x:v>최대 개수는 Backend 트랜잭션 검증</x:v>
      </x:c>
      <x:c r="J27" s="2" t="str">
        <x:v>05 정책 시트에서 확정</x:v>
      </x:c>
      <x:c r="K27" s="2" t="str">
        <x:v>DB 설계팀 / 2026-08-27</x:v>
      </x:c>
    </x:row>
    <x:row r="28" ht="60" customHeight="1">
      <x:c r="A28" s="2" t="str">
        <x:v>M-MY-001</x:v>
      </x:c>
      <x:c r="B28" s="2" t="str">
        <x:v>MY</x:v>
      </x:c>
      <x:c r="C28" s="2" t="str">
        <x:v>사용자 ID, 닉네임, 설문 완료 여부</x:v>
      </x:c>
      <x:c r="D28" s="2" t="str">
        <x:v>회원, 운전부담설정</x:v>
      </x:c>
      <x:c r="E28" s="2" t="str">
        <x:v>users, driving_preferences</x:v>
      </x:c>
      <x:c r="F28" s="2" t="str">
        <x:v>users.nickname/is_active; preferences.completed_at</x:v>
      </x:c>
      <x:c r="G28" s="2" t="str">
        <x:v>R</x:v>
      </x:c>
      <x:c r="H28" s="7" t="str">
        <x:v>매핑 완료</x:v>
      </x:c>
      <x:c r="I28" s="2" t="str">
        <x:v>-</x:v>
      </x:c>
      <x:c r="J28" s="2" t="str">
        <x:v>-</x:v>
      </x:c>
      <x:c r="K28" s="2" t="str">
        <x:v>DB 설계팀 / 2026-08-27</x:v>
      </x:c>
    </x:row>
    <x:row r="29" ht="60" customHeight="1">
      <x:c r="A29" s="2" t="str">
        <x:v>M-MY-002</x:v>
      </x:c>
      <x:c r="B29" s="2" t="str">
        <x:v>프로필 관리</x:v>
      </x:c>
      <x:c r="C29" s="2" t="str">
        <x:v>아이디, 이메일, 닉네임, 인증수단, 계정상태</x:v>
      </x:c>
      <x:c r="D29" s="2" t="str">
        <x:v>회원, 인증계정, 사용자세션</x:v>
      </x:c>
      <x:c r="E29" s="2" t="str">
        <x:v>users, auth_accounts, user_sessions</x:v>
      </x:c>
      <x:c r="F29" s="2" t="str">
        <x:v>users.nickname/is_active/withdrawn_at; password_hash; sessions.revoked_at</x:v>
      </x:c>
      <x:c r="G29" s="2" t="str">
        <x:v>R/U</x:v>
      </x:c>
      <x:c r="H29" s="7" t="str">
        <x:v>매핑 완료</x:v>
      </x:c>
      <x:c r="I29" s="2" t="str">
        <x:v>-</x:v>
      </x:c>
      <x:c r="J29" s="2" t="str">
        <x:v>탈퇴 즉시 비활성화·세션폐기, 30일 보관 후 hard delete/CASCADE</x:v>
      </x:c>
      <x:c r="K29" s="2" t="str">
        <x:v>DB 설계팀 / 2026-08-27</x:v>
      </x:c>
    </x:row>
    <x:row r="30" ht="60" customHeight="1">
      <x:c r="A30" s="2" t="str">
        <x:v>M-SUPPORT-001</x:v>
      </x:c>
      <x:c r="B30" s="2" t="str">
        <x:v>도움말/지원</x:v>
      </x:c>
      <x:c r="C30" s="2" t="str">
        <x:v>지원 메뉴 목록</x:v>
      </x:c>
      <x:c r="D30" s="2" t="str">
        <x:v>-</x:v>
      </x:c>
      <x:c r="E30" s="2" t="str">
        <x:v>-</x:v>
      </x:c>
      <x:c r="F30" s="2" t="str">
        <x:v>-</x:v>
      </x:c>
      <x:c r="G30" s="2" t="str">
        <x:v>-</x:v>
      </x:c>
      <x:c r="H30" s="7" t="str">
        <x:v>매핑 완료</x:v>
      </x:c>
      <x:c r="I30" s="2" t="str">
        <x:v>-</x:v>
      </x:c>
      <x:c r="J30" s="2" t="str">
        <x:v>-</x:v>
      </x:c>
      <x:c r="K30" s="2" t="str">
        <x:v>DB 설계팀 / 2026-08-27</x:v>
      </x:c>
    </x:row>
    <x:row r="31" ht="60" customHeight="1">
      <x:c r="A31" s="2" t="str">
        <x:v>M-SUPPORT-004</x:v>
      </x:c>
      <x:c r="B31" s="2" t="str">
        <x:v>공지사항</x:v>
      </x:c>
      <x:c r="C31" s="2" t="str">
        <x:v>공지 ID, 제목, 게시일</x:v>
      </x:c>
      <x:c r="D31" s="2" t="str">
        <x:v>공지</x:v>
      </x:c>
      <x:c r="E31" s="2" t="str">
        <x:v>notices</x:v>
      </x:c>
      <x:c r="F31" s="2" t="str">
        <x:v>id/title/published_at/is_published</x:v>
      </x:c>
      <x:c r="G31" s="2" t="str">
        <x:v>R</x:v>
      </x:c>
      <x:c r="H31" s="7" t="str">
        <x:v>매핑 완료</x:v>
      </x:c>
      <x:c r="I31" s="2" t="str">
        <x:v>초기 게시물은 SQL/운영 스크립트로 관리 가능</x:v>
      </x:c>
      <x:c r="J31" s="2" t="str">
        <x:v>05 정책 시트에서 확정</x:v>
      </x:c>
      <x:c r="K31" s="2" t="str">
        <x:v>DB 설계팀 / 2026-08-27</x:v>
      </x:c>
    </x:row>
    <x:row r="32" ht="60" customHeight="1">
      <x:c r="A32" s="2" t="str">
        <x:v>M-SUPPORT-005</x:v>
      </x:c>
      <x:c r="B32" s="2" t="str">
        <x:v>공지사항 상세</x:v>
      </x:c>
      <x:c r="C32" s="2" t="str">
        <x:v>공지 ID, 제목, 내용, 게시일</x:v>
      </x:c>
      <x:c r="D32" s="2" t="str">
        <x:v>공지</x:v>
      </x:c>
      <x:c r="E32" s="2" t="str">
        <x:v>notices</x:v>
      </x:c>
      <x:c r="F32" s="2" t="str">
        <x:v>id/title/content/published_at/is_published</x:v>
      </x:c>
      <x:c r="G32" s="2" t="str">
        <x:v>R</x:v>
      </x:c>
      <x:c r="H32" s="7" t="str">
        <x:v>매핑 완료</x:v>
      </x:c>
      <x:c r="I32" s="2" t="str">
        <x:v>-</x:v>
      </x:c>
      <x:c r="J32" s="2" t="str">
        <x:v>-</x:v>
      </x:c>
      <x:c r="K32" s="2" t="str">
        <x:v>DB 설계팀 / 2026-08-27</x:v>
      </x:c>
    </x:row>
    <x:row r="33" ht="60" customHeight="1">
      <x:c r="A33" s="2" t="str">
        <x:v>M-SUPPORT-006</x:v>
      </x:c>
      <x:c r="B33" s="2" t="str">
        <x:v>문의하기</x:v>
      </x:c>
      <x:c r="C33" s="2" t="str">
        <x:v>사용자 ID, 카테고리, 제목, 내용, 접수상태, 작성일</x:v>
      </x:c>
      <x:c r="D33" s="2" t="str">
        <x:v>문의</x:v>
      </x:c>
      <x:c r="E33" s="2" t="str">
        <x:v>inquiries, users</x:v>
      </x:c>
      <x:c r="F33" s="2" t="str">
        <x:v>user_id/category/title/content/status/created_at</x:v>
      </x:c>
      <x:c r="G33" s="2" t="str">
        <x:v>C/R</x:v>
      </x:c>
      <x:c r="H33" s="7" t="str">
        <x:v>매핑 완료</x:v>
      </x:c>
      <x:c r="I33" s="2" t="str">
        <x:v>답변 운영은 DB/알림 연계 후속 결정</x:v>
      </x:c>
      <x:c r="J33" s="2" t="str">
        <x:v>05 정책 시트에서 확정</x:v>
      </x:c>
      <x:c r="K33" s="2" t="str">
        <x:v>DB 설계팀 / 2026-08-27</x:v>
      </x:c>
    </x:row>
    <x:row r="34" ht="60" customHeight="1">
      <x:c r="A34" s="2" t="str">
        <x:v>M-SUPPORT-007</x:v>
      </x:c>
      <x:c r="B34" s="2" t="str">
        <x:v>약관 및 개인정보</x:v>
      </x:c>
      <x:c r="C34" s="2" t="str">
        <x:v>Frontend 하드코딩 약관 유형·제목·본문</x:v>
      </x:c>
      <x:c r="D34" s="2" t="str">
        <x:v>정적 약관</x:v>
      </x:c>
      <x:c r="E34" s="2" t="str">
        <x:v>-</x:v>
      </x:c>
      <x:c r="F34" s="2" t="str">
        <x:v>-</x:v>
      </x:c>
      <x:c r="G34" s="2" t="str">
        <x:v>-</x:v>
      </x:c>
      <x:c r="H34" s="7" t="str">
        <x:v>매핑 완료</x:v>
      </x:c>
      <x:c r="I34" s="2" t="str">
        <x:v>DB 미저장</x:v>
      </x:c>
      <x:c r="J34" s="2" t="str">
        <x:v>Frontend 코드/정적 파일에서 관리</x:v>
      </x:c>
      <x:c r="K34" s="2" t="str">
        <x:v>DB 설계팀 / 2026-08-27</x:v>
      </x:c>
    </x:row>
    <x:row r="35" ht="60" customHeight="1">
      <x:c r="A35" s="2" t="str">
        <x:v>A-AUTH-001</x:v>
      </x:c>
      <x:c r="B35" s="2" t="str">
        <x:v>관리자 로그인</x:v>
      </x:c>
      <x:c r="C35" s="2" t="str">
        <x:v>관리자 이메일, 권한, 활성상태, 세션</x:v>
      </x:c>
      <x:c r="D35" s="2" t="str">
        <x:v>관리자, 관리자세션</x:v>
      </x:c>
      <x:c r="E35" s="2" t="str">
        <x:v>admins, admin_sessions</x:v>
      </x:c>
      <x:c r="F35" s="2" t="str">
        <x:v>admins.email/password_hash/role/is_active; sessions.expires_at</x:v>
      </x:c>
      <x:c r="G35" s="2" t="str">
        <x:v>R/C/U</x:v>
      </x:c>
      <x:c r="H35" s="7" t="str">
        <x:v>매핑 완료</x:v>
      </x:c>
      <x:c r="I35" s="2" t="str">
        <x:v>-</x:v>
      </x:c>
      <x:c r="J35" s="2" t="str">
        <x:v>-</x:v>
      </x:c>
      <x:c r="K35" s="2" t="str">
        <x:v>DB 설계팀 / 2026-08-27</x:v>
      </x:c>
    </x:row>
    <x:row r="36" ht="60" customHeight="1">
      <x:c r="A36" s="2" t="str">
        <x:v>A-DASH-001</x:v>
      </x:c>
      <x:c r="B36" s="2" t="str">
        <x:v>운영 대시보드</x:v>
      </x:c>
      <x:c r="C36" s="2" t="str">
        <x:v>전체회원수, 최신갱신일, 전체·실패 경로검색수, 오늘 2시간대별·연간 월별 요청수</x:v>
      </x:c>
      <x:c r="D36" s="2" t="str">
        <x:v>회원, 경로요청, 데이터갱신</x:v>
      </x:c>
      <x:c r="E36" s="2" t="str">
        <x:v>users, route_requests, data_update_logs</x:v>
      </x:c>
      <x:c r="F36" s="2" t="str">
        <x:v>users.created_at/is_active; requests.created_at/is_active; updates.finished_at</x:v>
      </x:c>
      <x:c r="G36" s="2" t="str">
        <x:v>R</x:v>
      </x:c>
      <x:c r="H36" s="7" t="str">
        <x:v>매핑 완료</x:v>
      </x:c>
      <x:c r="I36" s="2" t="str">
        <x:v>집계는 SQL View로 시작 가능</x:v>
      </x:c>
      <x:c r="J36" s="2" t="str">
        <x:v>05 정책 시트에서 확정</x:v>
      </x:c>
      <x:c r="K36" s="2" t="str">
        <x:v>DB 설계팀 / 2026-08-27</x:v>
      </x:c>
    </x:row>
    <x:row r="37" ht="60" customHeight="1">
      <x:c r="A37" s="2" t="str">
        <x:v>A-MEMBER-001</x:v>
      </x:c>
      <x:c r="B37" s="2" t="str">
        <x:v>회원 관리</x:v>
      </x:c>
      <x:c r="C37" s="2" t="str">
        <x:v>사용자 ID, 아이디, 가입일, 가입경로, 계정상태</x:v>
      </x:c>
      <x:c r="D37" s="2" t="str">
        <x:v>회원, 인증계정</x:v>
      </x:c>
      <x:c r="E37" s="2" t="str">
        <x:v>users, auth_accounts</x:v>
      </x:c>
      <x:c r="F37" s="2" t="str">
        <x:v>users.id/username/email/created_at/is_active; auth_accounts.provider</x:v>
      </x:c>
      <x:c r="G37" s="2" t="str">
        <x:v>R</x:v>
      </x:c>
      <x:c r="H37" s="7" t="str">
        <x:v>매핑 완료</x:v>
      </x:c>
      <x:c r="I37" s="2" t="str">
        <x:v>가입경로 대표값 정의는 최초 provider 권장</x:v>
      </x:c>
      <x:c r="J37" s="2" t="str">
        <x:v>05 정책 시트에서 확정</x:v>
      </x:c>
      <x:c r="K37" s="2" t="str">
        <x:v>DB 설계팀 / 2026-08-27</x:v>
      </x:c>
    </x:row>
    <x:row r="38" ht="60" customHeight="1">
      <x:c r="A38" s="2" t="str">
        <x:v>A-MEMBER-002</x:v>
      </x:c>
      <x:c r="B38" s="2" t="str">
        <x:v>회원 상세</x:v>
      </x:c>
      <x:c r="C38" s="2" t="str">
        <x:v>닉네임, 아이디, 이메일, 가입일, 가입경로, 계정상태, 경로요청수</x:v>
      </x:c>
      <x:c r="D38" s="2" t="str">
        <x:v>회원, 인증계정, 경로요청</x:v>
      </x:c>
      <x:c r="E38" s="2" t="str">
        <x:v>users, auth_accounts, route_requests</x:v>
      </x:c>
      <x:c r="F38" s="2" t="str">
        <x:v>회원 필드; COUNT(route_requests.id)</x:v>
      </x:c>
      <x:c r="G38" s="2" t="str">
        <x:v>R</x:v>
      </x:c>
      <x:c r="H38" s="7" t="str">
        <x:v>매핑 완료</x:v>
      </x:c>
      <x:c r="I38" s="2" t="str">
        <x:v>-</x:v>
      </x:c>
      <x:c r="J38" s="2" t="str">
        <x:v>-</x:v>
      </x:c>
      <x:c r="K38" s="2" t="str">
        <x:v>DB 설계팀 / 2026-08-27</x:v>
      </x:c>
    </x:row>
    <x:row r="39" ht="60" customHeight="1">
      <x:c r="A39" s="2" t="str">
        <x:v>A-DATA-001</x:v>
      </x:c>
      <x:c r="B39" s="2" t="str">
        <x:v>데이터 관리</x:v>
      </x:c>
      <x:c r="C39" s="2" t="str">
        <x:v>데이터 종류, 갱신일, 대상·처리·성공·실패 건수, 상태, 경로 성공/실패 내역</x:v>
      </x:c>
      <x:c r="D39" s="2" t="str">
        <x:v>데이터갱신, 경로요청</x:v>
      </x:c>
      <x:c r="E39" s="2" t="str">
        <x:v>data_update_logs, route_requests</x:v>
      </x:c>
      <x:c r="F39" s="2" t="str">
        <x:v>dataset_type/counts/status/timestamps; request status</x:v>
      </x:c>
      <x:c r="G39" s="2" t="str">
        <x:v>R</x:v>
      </x:c>
      <x:c r="H39" s="7" t="str">
        <x:v>매핑 완료</x:v>
      </x:c>
      <x:c r="I39" s="2" t="str">
        <x:v>-</x:v>
      </x:c>
      <x:c r="J39" s="2" t="str">
        <x:v>-</x:v>
      </x:c>
      <x:c r="K39" s="2" t="str">
        <x:v>DB 설계팀 / 2026-08-27</x:v>
      </x:c>
    </x:row>
    <x:row r="40" ht="60" customHeight="1">
      <x:c r="A40" s="2" t="str">
        <x:v>A-ROUTE-001</x:v>
      </x:c>
      <x:c r="B40" s="2" t="str">
        <x:v>경로 검색 내역</x:v>
      </x:c>
      <x:c r="C40" s="2" t="str">
        <x:v>사용자 ID, 출발지, 목적지, 요청일시, 최대우회, 상태</x:v>
      </x:c>
      <x:c r="D40" s="2" t="str">
        <x:v>경로요청</x:v>
      </x:c>
      <x:c r="E40" s="2" t="str">
        <x:v>route_requests</x:v>
      </x:c>
      <x:c r="F40" s="2" t="str">
        <x:v>user_id/origin_name/destination_name/created_at/max_detour_minutes/status</x:v>
      </x:c>
      <x:c r="G40" s="2" t="str">
        <x:v>R</x:v>
      </x:c>
      <x:c r="H40" s="7" t="str">
        <x:v>매핑 완료</x:v>
      </x:c>
      <x:c r="I40" s="2" t="str">
        <x:v>-</x:v>
      </x:c>
      <x:c r="J40" s="2" t="str">
        <x:v>-</x:v>
      </x:c>
      <x:c r="K40" s="2" t="str">
        <x:v>DB 설계팀 / 2026-08-27</x:v>
      </x:c>
    </x:row>
    <x:row r="41" ht="60" customHeight="1">
      <x:c r="A41" s="2" t="str">
        <x:v>A-ROUTE-002</x:v>
      </x:c>
      <x:c r="B41" s="2" t="str">
        <x:v>경로 검색 상세</x:v>
      </x:c>
      <x:c r="C41" s="2" t="str">
        <x:v>사용자, 출발/목적지와 좌표, 요청시각, 우회시간, 후보3종, 선택후보</x:v>
      </x:c>
      <x:c r="D41" s="2" t="str">
        <x:v>경로요청, 경로후보, 후보경로구간</x:v>
      </x:c>
      <x:c r="E41" s="2" t="str">
        <x:v>route_requests, route_candidates, route_candidate_links</x:v>
      </x:c>
      <x:c r="F41" s="2" t="str">
        <x:v>request input fields; candidate metrics/geom/is_selected</x:v>
      </x:c>
      <x:c r="G41" s="2" t="str">
        <x:v>R</x:v>
      </x:c>
      <x:c r="H41" s="7" t="str">
        <x:v>매핑 완료</x:v>
      </x:c>
      <x:c r="I41" s="2" t="str">
        <x:v>-</x:v>
      </x:c>
      <x:c r="J41" s="2" t="str">
        <x:v>-</x:v>
      </x:c>
      <x:c r="K41" s="2" t="str">
        <x:v>DB 설계팀 / 2026-08-27</x:v>
      </x:c>
    </x:row>
    <x:row r="42" ht="60" customHeight="1">
      <x:c r="A42" s="2" t="str">
        <x:v>A-ROUTE-003</x:v>
      </x:c>
      <x:c r="B42" s="2" t="str">
        <x:v>실패 경로 검색 내역</x:v>
      </x:c>
      <x:c r="C42" s="2" t="str">
        <x:v>사용자 ID, 출발지, 목적지, 요청일시, 실패코드·메시지</x:v>
      </x:c>
      <x:c r="D42" s="2" t="str">
        <x:v>경로요청</x:v>
      </x:c>
      <x:c r="E42" s="2" t="str">
        <x:v>route_requests</x:v>
      </x:c>
      <x:c r="F42" s="2" t="str">
        <x:v>input fields/status/failure_code/failure_message/created_at</x:v>
      </x:c>
      <x:c r="G42" s="2" t="str">
        <x:v>R</x:v>
      </x:c>
      <x:c r="H42" s="7" t="str">
        <x:v>매핑 완료</x:v>
      </x:c>
      <x:c r="I42" s="2" t="str">
        <x:v>-</x:v>
      </x:c>
      <x:c r="J42" s="2" t="str">
        <x:v>-</x:v>
      </x:c>
      <x:c r="K42" s="2" t="str">
        <x:v>DB 설계팀 / 2026-08-27</x:v>
      </x:c>
    </x:row>
    <x:row r="43" ht="60" customHeight="1">
      <x:c r="A43" s="2" t="str">
        <x:v>A-ROUTE-004</x:v>
      </x:c>
      <x:c r="B43" s="2" t="str">
        <x:v>실패 경로 검색 상세</x:v>
      </x:c>
      <x:c r="C43" s="2" t="str">
        <x:v>출발/목적지와 좌표, 실패원인, 동일입력 요청횟수</x:v>
      </x:c>
      <x:c r="D43" s="2" t="str">
        <x:v>경로요청</x:v>
      </x:c>
      <x:c r="E43" s="2" t="str">
        <x:v>route_requests</x:v>
      </x:c>
      <x:c r="F43" s="2" t="str">
        <x:v>input_fingerprint; COUNT(*) by fingerprint; failure fields</x:v>
      </x:c>
      <x:c r="G43" s="2" t="str">
        <x:v>R</x:v>
      </x:c>
      <x:c r="H43" s="7" t="str">
        <x:v>매핑 완료</x:v>
      </x:c>
      <x:c r="I43" s="2" t="str">
        <x:v>개인정보 보존기간과 좌표 정밀도 검토</x:v>
      </x:c>
      <x:c r="J43" s="2" t="str">
        <x:v>05 정책 시트에서 확정</x:v>
      </x:c>
      <x:c r="K43" s="2" t="str">
        <x:v>DB 설계팀 / 2026-08-27</x:v>
      </x:c>
    </x:row>
    <x:row r="44" ht="60" customHeight="1">
      <x:c r="A44" s="2" t="str">
        <x:v>A-ADMIN-001</x:v>
      </x:c>
      <x:c r="B44" s="2" t="str">
        <x:v>관리자 계정 관리</x:v>
      </x:c>
      <x:c r="C44" s="2" t="str">
        <x:v>관리자 ID, 이메일, 권한, 활성상태, 부여자·시각</x:v>
      </x:c>
      <x:c r="D44" s="2" t="str">
        <x:v>관리자, 관리자권한이력</x:v>
      </x:c>
      <x:c r="E44" s="2" t="str">
        <x:v>admins, admin_audit_logs</x:v>
      </x:c>
      <x:c r="F44" s="2" t="str">
        <x:v>admins.role/is_active/granted_by/granted_at; audit action/before/after</x:v>
      </x:c>
      <x:c r="G44" s="2" t="str">
        <x:v>C/R/U</x:v>
      </x:c>
      <x:c r="H44" s="7" t="str">
        <x:v>매핑 완료</x:v>
      </x:c>
      <x:c r="I44" s="2" t="str">
        <x:v>-</x:v>
      </x:c>
      <x:c r="J44" s="2" t="str">
        <x:v>-</x:v>
      </x:c>
      <x:c r="K44" s="2" t="str">
        <x:v>DB 설계팀 / 2026-08-27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12d14405486a459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31" customWidth="1"/>
    <x:col min="2" max="2" width="32" customWidth="1"/>
    <x:col min="3" max="3" width="42" customWidth="1"/>
    <x:col min="4" max="4" width="28" customWidth="1"/>
    <x:col min="5" max="6" width="9" customWidth="1"/>
    <x:col min="7" max="7" width="28" customWidth="1"/>
    <x:col min="8" max="9" width="14" customWidth="1"/>
    <x:col min="10" max="10" width="24" customWidth="1"/>
    <x:col min="11" max="11" width="45" customWidth="1"/>
    <x:col min="12" max="12" width="28" customWidth="1"/>
    <x:col min="13" max="13" width="36" customWidth="1"/>
    <x:col min="14" max="14" width="46" customWidth="1"/>
    <x:col min="15" max="15" width="12" hidden="0" customWidth="1"/>
    <x:col min="16" max="16" width="13" hidden="0" customWidth="1"/>
    <x:col min="17" max="17" width="38" hidden="0" customWidth="1"/>
    <x:col min="18" max="18" width="14" hidden="0" customWidth="1"/>
  </x:cols>
  <x:sheetData>
    <x:row r="1" ht="33.95000076293945" customHeight="1">
      <x:c r="A1" s="57" t="str">
        <x:v>컬럼 설계 최종 검증본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  <x:c r="M1" s="57"/>
      <x:c r="N1" s="57"/>
      <x:c r="O1" s="59"/>
      <x:c r="P1" s="59"/>
      <x:c r="Q1" s="59"/>
      <x:c r="R1" s="59"/>
    </x:row>
    <x:row r="2" ht="27.950000762939453" customHeight="1">
      <x:c r="A2" s="67" t="str">
        <x:v>PostgreSQL + PostGIS 기준 · PK/FK/Type/NULL/UNIQUE/DEFAULT/공간데이터 검증 · SQL 작성 직전 기준</x:v>
      </x:c>
      <x:c r="B2" s="67"/>
      <x:c r="C2" s="67"/>
      <x:c r="D2" s="67"/>
      <x:c r="E2" s="67"/>
      <x:c r="F2" s="67"/>
      <x:c r="G2" s="67"/>
      <x:c r="H2" s="67"/>
      <x:c r="I2" s="67"/>
      <x:c r="J2" s="67"/>
      <x:c r="K2" s="67"/>
      <x:c r="L2" s="67"/>
      <x:c r="M2" s="67"/>
      <x:c r="N2" s="67"/>
      <x:c r="O2" s="69"/>
      <x:c r="P2" s="69"/>
      <x:c r="Q2" s="69"/>
      <x:c r="R2" s="69"/>
    </x:row>
    <x:row r="3">
      <x:c r="A3" s="89"/>
      <x:c r="B3" s="89"/>
      <x:c r="C3" s="89"/>
      <x:c r="D3" s="89"/>
      <x:c r="E3" s="89"/>
      <x:c r="F3" s="89"/>
      <x:c r="G3" s="89"/>
      <x:c r="H3" s="89"/>
      <x:c r="I3" s="89"/>
      <x:c r="J3" s="89"/>
      <x:c r="K3" s="89"/>
      <x:c r="L3" s="89"/>
      <x:c r="M3" s="89"/>
      <x:c r="N3" s="89"/>
      <x:c r="O3" s="89"/>
      <x:c r="P3" s="89"/>
      <x:c r="Q3" s="89"/>
      <x:c r="R3"/>
    </x:row>
    <x:row r="4" ht="33.95000076293945" customHeight="1">
      <x:c r="A4" s="90" t="str">
        <x:v>Table</x:v>
      </x:c>
      <x:c r="B4" s="90" t="str">
        <x:v>Column</x:v>
      </x:c>
      <x:c r="C4" s="90" t="str">
        <x:v>설명</x:v>
      </x:c>
      <x:c r="D4" s="90" t="str">
        <x:v>PostgreSQL Type</x:v>
      </x:c>
      <x:c r="E4" s="90" t="str">
        <x:v>PK</x:v>
      </x:c>
      <x:c r="F4" s="90" t="str">
        <x:v>FK</x:v>
      </x:c>
      <x:c r="G4" s="90" t="str">
        <x:v>FK 대상</x:v>
      </x:c>
      <x:c r="H4" s="90" t="str">
        <x:v>NULL 허용</x:v>
      </x:c>
      <x:c r="I4" s="90" t="str">
        <x:v>UNIQUE</x:v>
      </x:c>
      <x:c r="J4" s="90" t="str">
        <x:v>Default</x:v>
      </x:c>
      <x:c r="K4" s="90" t="str">
        <x:v>CHECK/Validation</x:v>
      </x:c>
      <x:c r="L4" s="90" t="str">
        <x:v>인덱스</x:v>
      </x:c>
      <x:c r="M4" s="90" t="str">
        <x:v>관련 화면 ID</x:v>
      </x:c>
      <x:c r="N4" s="90" t="str">
        <x:v>비고</x:v>
      </x:c>
      <x:c r="O4" s="79" t="str">
        <x:v>공간데이터</x:v>
      </x:c>
      <x:c r="P4" s="79" t="str">
        <x:v>최종검증</x:v>
      </x:c>
      <x:c r="Q4" s="79" t="str">
        <x:v>검증메모</x:v>
      </x:c>
      <x:c r="R4" s="79" t="str">
        <x:v>FK 삭제정책</x:v>
      </x:c>
    </x:row>
    <x:row r="5" ht="42" customHeight="1">
      <x:c r="A5" s="91" t="str">
        <x:v>users</x:v>
      </x:c>
      <x:c r="B5" s="92" t="str">
        <x:v>id</x:v>
      </x:c>
      <x:c r="C5" s="92" t="str">
        <x:v>회원 PK</x:v>
      </x:c>
      <x:c r="D5" s="92" t="str">
        <x:v>uuid</x:v>
      </x:c>
      <x:c r="E5" s="93" t="str">
        <x:v>Y</x:v>
      </x:c>
      <x:c r="F5" s="93" t="str">
        <x:v>N</x:v>
      </x:c>
      <x:c r="G5" s="92" t="str">
        <x:v>-</x:v>
      </x:c>
      <x:c r="H5" s="93" t="str">
        <x:v>N</x:v>
      </x:c>
      <x:c r="I5" s="93" t="str">
        <x:v>N</x:v>
      </x:c>
      <x:c r="J5" s="93" t="str">
        <x:v>gen_random_uuid()</x:v>
      </x:c>
      <x:c r="K5" s="92" t="str">
        <x:v>-</x:v>
      </x:c>
      <x:c r="L5" s="92" t="str">
        <x:v>PK</x:v>
      </x:c>
      <x:c r="M5" s="92" t="str">
        <x:v>AUTH/MY/A-MEMBER</x:v>
      </x:c>
      <x:c r="N5" s="92" t="str">
        <x:v>Supabase auth.users와 무관</x:v>
      </x:c>
      <x:c r="O5" s="94" t="str">
        <x:v>N</x:v>
      </x:c>
      <x:c r="P5" s="94" t="str">
        <x:v>수정 반영</x:v>
      </x:c>
      <x:c r="Q5" s="95" t="str">
        <x:v>PK 자체가 NOT NULL + UNIQUE를 보장하므로 별도 UNIQUE 플래그 제거</x:v>
      </x:c>
      <x:c r="R5" s="87" t="str">
        <x:v>-</x:v>
      </x:c>
    </x:row>
    <x:row r="6" ht="42" customHeight="1">
      <x:c r="A6" s="96" t="str">
        <x:v>users</x:v>
      </x:c>
      <x:c r="B6" s="96" t="str">
        <x:v>username</x:v>
      </x:c>
      <x:c r="C6" s="96" t="str">
        <x:v>Local 로그인 아이디</x:v>
      </x:c>
      <x:c r="D6" s="96" t="str">
        <x:v>varchar(20)</x:v>
      </x:c>
      <x:c r="E6" s="97" t="str">
        <x:v>N</x:v>
      </x:c>
      <x:c r="F6" s="97" t="str">
        <x:v>N</x:v>
      </x:c>
      <x:c r="G6" s="96" t="str">
        <x:v>-</x:v>
      </x:c>
      <x:c r="H6" s="97" t="str">
        <x:v>Y</x:v>
      </x:c>
      <x:c r="I6" s="97" t="str">
        <x:v>Y</x:v>
      </x:c>
      <x:c r="J6" s="97" t="str">
        <x:v>-</x:v>
      </x:c>
      <x:c r="K6" s="96" t="str">
        <x:v>NULL 또는 정규식 ^[a-z][a-z0-9_]{4,19}$</x:v>
      </x:c>
      <x:c r="L6" s="96" t="str">
        <x:v>UNIQUE WHERE username IS NOT NULL</x:v>
      </x:c>
      <x:c r="M6" s="96" t="str">
        <x:v>AUTH/A-MEMBER</x:v>
      </x:c>
      <x:c r="N6" s="96" t="str">
        <x:v>소셜 회원은 NULL; Local은 정규식 적용</x:v>
      </x:c>
      <x:c r="O6" s="94" t="str">
        <x:v>N</x:v>
      </x:c>
      <x:c r="P6" s="94" t="str">
        <x:v>확정</x:v>
      </x:c>
      <x:c r="Q6" s="95" t="str">
        <x:v>Local 아이디 규칙 확정: ^[a-z][a-z0-9_]{4,19}$</x:v>
      </x:c>
      <x:c r="R6" s="87" t="str">
        <x:v>-</x:v>
      </x:c>
    </x:row>
    <x:row r="7" ht="42" customHeight="1">
      <x:c r="A7" s="96" t="str">
        <x:v>users</x:v>
      </x:c>
      <x:c r="B7" s="96" t="str">
        <x:v>email</x:v>
      </x:c>
      <x:c r="C7" s="96" t="str">
        <x:v>회원 이메일</x:v>
      </x:c>
      <x:c r="D7" s="96" t="str">
        <x:v>varchar(255)</x:v>
      </x:c>
      <x:c r="E7" s="97" t="str">
        <x:v>N</x:v>
      </x:c>
      <x:c r="F7" s="97" t="str">
        <x:v>N</x:v>
      </x:c>
      <x:c r="G7" s="96" t="str">
        <x:v>-</x:v>
      </x:c>
      <x:c r="H7" s="97" t="str">
        <x:v>N</x:v>
      </x:c>
      <x:c r="I7" s="97" t="str">
        <x:v>Y</x:v>
      </x:c>
      <x:c r="J7" s="97" t="str">
        <x:v>-</x:v>
      </x:c>
      <x:c r="K7" s="96" t="str">
        <x:v>Backend 입력: ^[a-zA-Z0-9._%+-]+@[a-zA-Z0-9.-]+\.[a-zA-Z]{2,}$; DB: email = lower(email)</x:v>
      </x:c>
      <x:c r="L7" s="96" t="str">
        <x:v>UNIQUE</x:v>
      </x:c>
      <x:c r="M7" s="96" t="str">
        <x:v>AUTH/MY/A-MEMBER</x:v>
      </x:c>
      <x:c r="N7" s="96" t="str">
        <x:v>Backend에서 trim + lowercase 정규화 후 저장</x:v>
      </x:c>
      <x:c r="O7" s="94" t="str">
        <x:v>N</x:v>
      </x:c>
      <x:c r="P7" s="94" t="str">
        <x:v>확정</x:v>
      </x:c>
      <x:c r="Q7" s="95" t="str">
        <x:v>citext 미사용; lowercase 저장 + 일반 UNIQUE + lowercase CHECK</x:v>
      </x:c>
      <x:c r="R7" s="87" t="str">
        <x:v>-</x:v>
      </x:c>
    </x:row>
    <x:row r="8" ht="42" customHeight="1">
      <x:c r="A8" s="96" t="str">
        <x:v>users</x:v>
      </x:c>
      <x:c r="B8" s="96" t="str">
        <x:v>nickname</x:v>
      </x:c>
      <x:c r="C8" s="96" t="str">
        <x:v>서비스 닉네임</x:v>
      </x:c>
      <x:c r="D8" s="96" t="str">
        <x:v>varchar(10)</x:v>
      </x:c>
      <x:c r="E8" s="97" t="str">
        <x:v>N</x:v>
      </x:c>
      <x:c r="F8" s="97" t="str">
        <x:v>N</x:v>
      </x:c>
      <x:c r="G8" s="96" t="str">
        <x:v>-</x:v>
      </x:c>
      <x:c r="H8" s="97" t="str">
        <x:v>N</x:v>
      </x:c>
      <x:c r="I8" s="97" t="str">
        <x:v>N</x:v>
      </x:c>
      <x:c r="J8" s="97" t="str">
        <x:v>-</x:v>
      </x:c>
      <x:c r="K8" s="96" t="str">
        <x:v>정규식 ^[가-힣a-zA-Z0-9]{2,10}$</x:v>
      </x:c>
      <x:c r="L8" s="96" t="str">
        <x:v>-</x:v>
      </x:c>
      <x:c r="M8" s="96" t="str">
        <x:v>AUTH/MY/A-MEMBER</x:v>
      </x:c>
      <x:c r="N8" s="96" t="str">
        <x:v>한글/영문/숫자 2~10자, 특수문자·공백 불가</x:v>
      </x:c>
      <x:c r="O8" s="94" t="str">
        <x:v>N</x:v>
      </x:c>
      <x:c r="P8" s="94" t="str">
        <x:v>확정</x:v>
      </x:c>
      <x:c r="Q8" s="95" t="str">
        <x:v>닉네임 규칙 확정: ^[가-힣a-zA-Z0-9]{2,10}$</x:v>
      </x:c>
      <x:c r="R8" s="87" t="str">
        <x:v>-</x:v>
      </x:c>
    </x:row>
    <x:row r="9" ht="42" customHeight="1">
      <x:c r="A9" s="96" t="str">
        <x:v>users</x:v>
      </x:c>
      <x:c r="B9" s="96" t="str">
        <x:v>is_active</x:v>
      </x:c>
      <x:c r="C9" s="96" t="str">
        <x:v>회원 활성 여부 (true=활성, false=탈퇴)</x:v>
      </x:c>
      <x:c r="D9" s="96" t="str">
        <x:v>boolean</x:v>
      </x:c>
      <x:c r="E9" s="97" t="str">
        <x:v>N</x:v>
      </x:c>
      <x:c r="F9" s="97" t="str">
        <x:v>N</x:v>
      </x:c>
      <x:c r="G9" s="96" t="str">
        <x:v>-</x:v>
      </x:c>
      <x:c r="H9" s="97" t="str">
        <x:v>N</x:v>
      </x:c>
      <x:c r="I9" s="97" t="str">
        <x:v>N</x:v>
      </x:c>
      <x:c r="J9" s="100" t="b">
        <x:v>1</x:v>
      </x:c>
      <x:c r="K9" s="96" t="str">
        <x:v>-</x:v>
      </x:c>
      <x:c r="L9" s="96" t="str">
        <x:v>INDEX</x:v>
      </x:c>
      <x:c r="M9" s="96" t="str">
        <x:v>AUTH/MY/A-MEMBER</x:v>
      </x:c>
      <x:c r="N9" s="96" t="str">
        <x:v>활성/탈퇴 2상태만 사용</x:v>
      </x:c>
      <x:c r="O9" s="94" t="str">
        <x:v>N</x:v>
      </x:c>
      <x:c r="P9" s="94" t="str">
        <x:v>수정 반영</x:v>
      </x:c>
      <x:c r="Q9" s="95" t="str">
        <x:v>MVP 정책 확정: boolean 사용, true=활성 / false=탈퇴</x:v>
      </x:c>
      <x:c r="R9" s="87" t="str">
        <x:v>-</x:v>
      </x:c>
    </x:row>
    <x:row r="10" ht="42" customHeight="1">
      <x:c r="A10" s="96" t="str">
        <x:v>users</x:v>
      </x:c>
      <x:c r="B10" s="96" t="str">
        <x:v>onboarding</x:v>
      </x:c>
      <x:c r="C10" s="96" t="str">
        <x:v>온보딩 완료 여부</x:v>
      </x:c>
      <x:c r="D10" s="96" t="str">
        <x:v>boolean</x:v>
      </x:c>
      <x:c r="E10" s="97" t="str">
        <x:v>N</x:v>
      </x:c>
      <x:c r="F10" s="97" t="str">
        <x:v>N</x:v>
      </x:c>
      <x:c r="G10" s="96" t="str">
        <x:v>-</x:v>
      </x:c>
      <x:c r="H10" s="97" t="str">
        <x:v>N</x:v>
      </x:c>
      <x:c r="I10" s="97" t="str">
        <x:v>N</x:v>
      </x:c>
      <x:c r="J10" s="100" t="b">
        <x:v>0</x:v>
      </x:c>
      <x:c r="K10" s="96" t="str">
        <x:v>-</x:v>
      </x:c>
      <x:c r="L10" s="96" t="str">
        <x:v>-</x:v>
      </x:c>
      <x:c r="M10" s="96" t="str">
        <x:v>Splash/ONB</x:v>
      </x:c>
      <x:c r="N10" s="96" t="str">
        <x:v>원본은 preferences.completed_at</x:v>
      </x:c>
      <x:c r="O10" s="94" t="str">
        <x:v>N</x:v>
      </x:c>
      <x:c r="P10" s="94" t="str">
        <x:v>권장 확인</x:v>
      </x:c>
      <x:c r="Q10" s="95" t="str">
        <x:v>preferences.completed_at과 중복 상태값이므로 Backend 동기화 필요; 파생 조회로 대체 가능</x:v>
      </x:c>
      <x:c r="R10" s="87" t="str">
        <x:v>-</x:v>
      </x:c>
    </x:row>
    <x:row r="11" ht="42" customHeight="1">
      <x:c r="A11" s="96" t="str">
        <x:v>users</x:v>
      </x:c>
      <x:c r="B11" s="96" t="str">
        <x:v>withdrawn_at</x:v>
      </x:c>
      <x:c r="C11" s="96" t="str">
        <x:v>탈퇴시각</x:v>
      </x:c>
      <x:c r="D11" s="96" t="str">
        <x:v>timestamptz</x:v>
      </x:c>
      <x:c r="E11" s="97" t="str">
        <x:v>N</x:v>
      </x:c>
      <x:c r="F11" s="97" t="str">
        <x:v>N</x:v>
      </x:c>
      <x:c r="G11" s="96" t="str">
        <x:v>-</x:v>
      </x:c>
      <x:c r="H11" s="97" t="str">
        <x:v>Y</x:v>
      </x:c>
      <x:c r="I11" s="97" t="str">
        <x:v>N</x:v>
      </x:c>
      <x:c r="J11" s="97" t="str">
        <x:v>-</x:v>
      </x:c>
      <x:c r="K11" s="96" t="str">
        <x:v>is_active=false이면 값 필수</x:v>
      </x:c>
      <x:c r="L11" s="96" t="str">
        <x:v>INDEX</x:v>
      </x:c>
      <x:c r="M11" s="96" t="str">
        <x:v>MY/A-MEMBER</x:v>
      </x:c>
      <x:c r="N11" s="96" t="str">
        <x:v>30일 보관 기산점; cleanup job 조회 기준</x:v>
      </x:c>
      <x:c r="O11" s="94" t="str">
        <x:v>N</x:v>
      </x:c>
      <x:c r="P11" s="94" t="str">
        <x:v>확정</x:v>
      </x:c>
      <x:c r="Q11" s="95" t="str">
        <x:v>탈퇴 30일 경과 후 Backend/Cron cleanup job이 users hard delete</x:v>
      </x:c>
      <x:c r="R11" s="87" t="str">
        <x:v>-</x:v>
      </x:c>
    </x:row>
    <x:row r="12" ht="42" customHeight="1">
      <x:c r="A12" s="96" t="str">
        <x:v>users</x:v>
      </x:c>
      <x:c r="B12" s="96" t="str">
        <x:v>created_at</x:v>
      </x:c>
      <x:c r="C12" s="96" t="str">
        <x:v>가입일시</x:v>
      </x:c>
      <x:c r="D12" s="96" t="str">
        <x:v>timestamptz</x:v>
      </x:c>
      <x:c r="E12" s="97" t="str">
        <x:v>N</x:v>
      </x:c>
      <x:c r="F12" s="97" t="str">
        <x:v>N</x:v>
      </x:c>
      <x:c r="G12" s="96" t="str">
        <x:v>-</x:v>
      </x:c>
      <x:c r="H12" s="97" t="str">
        <x:v>N</x:v>
      </x:c>
      <x:c r="I12" s="97" t="str">
        <x:v>N</x:v>
      </x:c>
      <x:c r="J12" s="97" t="str">
        <x:v>now()</x:v>
      </x:c>
      <x:c r="K12" s="96" t="str">
        <x:v>-</x:v>
      </x:c>
      <x:c r="L12" s="96" t="str">
        <x:v>INDEX</x:v>
      </x:c>
      <x:c r="M12" s="96" t="str">
        <x:v>A-DASH/A-MEMBER</x:v>
      </x:c>
      <x:c r="N12" s="96" t="str">
        <x:v>-</x:v>
      </x:c>
      <x:c r="O12" s="94" t="str">
        <x:v>N</x:v>
      </x:c>
      <x:c r="P12" s="94" t="str">
        <x:v>OK</x:v>
      </x:c>
      <x:c r="Q12" s="95"/>
      <x:c r="R12" s="87" t="str">
        <x:v>-</x:v>
      </x:c>
    </x:row>
    <x:row r="13" ht="42" customHeight="1">
      <x:c r="A13" s="96" t="str">
        <x:v>users</x:v>
      </x:c>
      <x:c r="B13" s="96" t="str">
        <x:v>updated_at</x:v>
      </x:c>
      <x:c r="C13" s="96" t="str">
        <x:v>수정일시</x:v>
      </x:c>
      <x:c r="D13" s="96" t="str">
        <x:v>timestamptz</x:v>
      </x:c>
      <x:c r="E13" s="97" t="str">
        <x:v>N</x:v>
      </x:c>
      <x:c r="F13" s="97" t="str">
        <x:v>N</x:v>
      </x:c>
      <x:c r="G13" s="96" t="str">
        <x:v>-</x:v>
      </x:c>
      <x:c r="H13" s="97" t="str">
        <x:v>N</x:v>
      </x:c>
      <x:c r="I13" s="97" t="str">
        <x:v>N</x:v>
      </x:c>
      <x:c r="J13" s="97" t="str">
        <x:v>now()</x:v>
      </x:c>
      <x:c r="K13" s="96" t="str">
        <x:v>-</x:v>
      </x:c>
      <x:c r="L13" s="96" t="str">
        <x:v>-</x:v>
      </x:c>
      <x:c r="M13" s="96" t="str">
        <x:v>MY</x:v>
      </x:c>
      <x:c r="N13" s="96" t="str">
        <x:v>trigger 갱신 권장</x:v>
      </x:c>
      <x:c r="O13" s="94" t="str">
        <x:v>N</x:v>
      </x:c>
      <x:c r="P13" s="94" t="str">
        <x:v>권장 확인</x:v>
      </x:c>
      <x:c r="Q13" s="95" t="str">
        <x:v>updated_at은 DEFAULT now()만으로 자동 갱신되지 않음; trigger 또는 Backend 처리</x:v>
      </x:c>
      <x:c r="R13" s="87" t="str">
        <x:v>-</x:v>
      </x:c>
    </x:row>
    <x:row r="14" ht="42" customHeight="1">
      <x:c r="A14" s="91" t="str">
        <x:v>auth_accounts</x:v>
      </x:c>
      <x:c r="B14" s="92" t="str">
        <x:v>id</x:v>
      </x:c>
      <x:c r="C14" s="92" t="str">
        <x:v>인증계정 PK</x:v>
      </x:c>
      <x:c r="D14" s="92" t="str">
        <x:v>uuid</x:v>
      </x:c>
      <x:c r="E14" s="93" t="str">
        <x:v>Y</x:v>
      </x:c>
      <x:c r="F14" s="93" t="str">
        <x:v>N</x:v>
      </x:c>
      <x:c r="G14" s="92" t="str">
        <x:v>-</x:v>
      </x:c>
      <x:c r="H14" s="93" t="str">
        <x:v>N</x:v>
      </x:c>
      <x:c r="I14" s="93" t="str">
        <x:v>N</x:v>
      </x:c>
      <x:c r="J14" s="93" t="str">
        <x:v>gen_random_uuid()</x:v>
      </x:c>
      <x:c r="K14" s="92" t="str">
        <x:v>-</x:v>
      </x:c>
      <x:c r="L14" s="92" t="str">
        <x:v>PK</x:v>
      </x:c>
      <x:c r="M14" s="92" t="str">
        <x:v>AUTH</x:v>
      </x:c>
      <x:c r="N14" s="92" t="str">
        <x:v>-</x:v>
      </x:c>
      <x:c r="O14" s="94" t="str">
        <x:v>N</x:v>
      </x:c>
      <x:c r="P14" s="94" t="str">
        <x:v>수정 반영</x:v>
      </x:c>
      <x:c r="Q14" s="95" t="str">
        <x:v>PK 자체가 NOT NULL + UNIQUE를 보장하므로 별도 UNIQUE 플래그 제거</x:v>
      </x:c>
      <x:c r="R14" s="87" t="str">
        <x:v>-</x:v>
      </x:c>
    </x:row>
    <x:row r="15" ht="42" customHeight="1">
      <x:c r="A15" s="96" t="str">
        <x:v>auth_accounts</x:v>
      </x:c>
      <x:c r="B15" s="96" t="str">
        <x:v>user_id</x:v>
      </x:c>
      <x:c r="C15" s="96" t="str">
        <x:v>회원 FK</x:v>
      </x:c>
      <x:c r="D15" s="96" t="str">
        <x:v>uuid</x:v>
      </x:c>
      <x:c r="E15" s="97" t="str">
        <x:v>N</x:v>
      </x:c>
      <x:c r="F15" s="97" t="str">
        <x:v>Y</x:v>
      </x:c>
      <x:c r="G15" s="96" t="str">
        <x:v>users.id</x:v>
      </x:c>
      <x:c r="H15" s="97" t="str">
        <x:v>N</x:v>
      </x:c>
      <x:c r="I15" s="97" t="str">
        <x:v>N</x:v>
      </x:c>
      <x:c r="J15" s="97" t="str">
        <x:v>-</x:v>
      </x:c>
      <x:c r="K15" s="96" t="str">
        <x:v>-</x:v>
      </x:c>
      <x:c r="L15" s="96" t="str">
        <x:v>INDEX</x:v>
      </x:c>
      <x:c r="M15" s="96" t="str">
        <x:v>AUTH/MY</x:v>
      </x:c>
      <x:c r="N15" s="96" t="str">
        <x:v>ON DELETE 정책 명시</x:v>
      </x:c>
      <x:c r="O15" s="94" t="str">
        <x:v>N</x:v>
      </x:c>
      <x:c r="P15" s="94" t="str">
        <x:v>OK</x:v>
      </x:c>
      <x:c r="Q15" s="95"/>
      <x:c r="R15" s="87" t="str">
        <x:v>CASCADE</x:v>
      </x:c>
    </x:row>
    <x:row r="16" ht="42" customHeight="1">
      <x:c r="A16" s="96" t="str">
        <x:v>auth_accounts</x:v>
      </x:c>
      <x:c r="B16" s="96" t="str">
        <x:v>provider</x:v>
      </x:c>
      <x:c r="C16" s="96" t="str">
        <x:v>인증 제공자</x:v>
      </x:c>
      <x:c r="D16" s="96" t="str">
        <x:v>varchar(20)</x:v>
      </x:c>
      <x:c r="E16" s="97" t="str">
        <x:v>N</x:v>
      </x:c>
      <x:c r="F16" s="97" t="str">
        <x:v>N</x:v>
      </x:c>
      <x:c r="G16" s="96" t="str">
        <x:v>-</x:v>
      </x:c>
      <x:c r="H16" s="97" t="str">
        <x:v>N</x:v>
      </x:c>
      <x:c r="I16" s="97" t="str">
        <x:v>N</x:v>
      </x:c>
      <x:c r="J16" s="97" t="str">
        <x:v>-</x:v>
      </x:c>
      <x:c r="K16" s="96" t="str">
        <x:v>local/naver/kakao/google</x:v>
      </x:c>
      <x:c r="L16" s="96" t="str">
        <x:v>UNIQUE(user_id,provider)</x:v>
      </x:c>
      <x:c r="M16" s="96" t="str">
        <x:v>AUTH/A-MEMBER</x:v>
      </x:c>
      <x:c r="N16" s="96" t="str">
        <x:v>-</x:v>
      </x:c>
      <x:c r="O16" s="94" t="str">
        <x:v>N</x:v>
      </x:c>
      <x:c r="P16" s="94" t="str">
        <x:v>수정 반영</x:v>
      </x:c>
      <x:c r="Q16" s="95" t="str">
        <x:v>회원당 동일 provider 1개로 복합 UNIQUE</x:v>
      </x:c>
      <x:c r="R16" s="87" t="str">
        <x:v>-</x:v>
      </x:c>
    </x:row>
    <x:row r="17" ht="42" customHeight="1">
      <x:c r="A17" s="96" t="str">
        <x:v>auth_accounts</x:v>
      </x:c>
      <x:c r="B17" s="96" t="str">
        <x:v>provider_user_id</x:v>
      </x:c>
      <x:c r="C17" s="96" t="str">
        <x:v>소셜 제공자 사용자 식별자</x:v>
      </x:c>
      <x:c r="D17" s="96" t="str">
        <x:v>varchar(255)</x:v>
      </x:c>
      <x:c r="E17" s="97" t="str">
        <x:v>N</x:v>
      </x:c>
      <x:c r="F17" s="97" t="str">
        <x:v>N</x:v>
      </x:c>
      <x:c r="G17" s="96" t="str">
        <x:v>-</x:v>
      </x:c>
      <x:c r="H17" s="97" t="str">
        <x:v>Y</x:v>
      </x:c>
      <x:c r="I17" s="97" t="str">
        <x:v>N</x:v>
      </x:c>
      <x:c r="J17" s="97" t="str">
        <x:v>-</x:v>
      </x:c>
      <x:c r="K17" s="96" t="str">
        <x:v>local이면 NULL; 소셜이면 필수</x:v>
      </x:c>
      <x:c r="L17" s="96" t="str">
        <x:v>UNIQUE(provider,provider_user_id) WHERE provider &lt;&gt; 'local'</x:v>
      </x:c>
      <x:c r="M17" s="96" t="str">
        <x:v>AUTH</x:v>
      </x:c>
      <x:c r="N17" s="96" t="str">
        <x:v>NAVER/Kakao/Google 제공 ID 저장; Local은 users.username 사용</x:v>
      </x:c>
      <x:c r="O17" s="94" t="str">
        <x:v>N</x:v>
      </x:c>
      <x:c r="P17" s="94" t="str">
        <x:v>수정 반영</x:v>
      </x:c>
      <x:c r="Q17" s="95" t="str">
        <x:v>provider_user_id로 명확화; Local NULL, 소셜 provider ID 필수</x:v>
      </x:c>
      <x:c r="R17" s="87" t="str">
        <x:v>-</x:v>
      </x:c>
    </x:row>
    <x:row r="18" ht="42" customHeight="1">
      <x:c r="A18" s="96" t="str">
        <x:v>auth_accounts</x:v>
      </x:c>
      <x:c r="B18" s="96" t="str">
        <x:v>password_hash</x:v>
      </x:c>
      <x:c r="C18" s="96" t="str">
        <x:v>Local 비밀번호 hash</x:v>
      </x:c>
      <x:c r="D18" s="96" t="str">
        <x:v>text</x:v>
      </x:c>
      <x:c r="E18" s="97" t="str">
        <x:v>N</x:v>
      </x:c>
      <x:c r="F18" s="97" t="str">
        <x:v>N</x:v>
      </x:c>
      <x:c r="G18" s="96" t="str">
        <x:v>-</x:v>
      </x:c>
      <x:c r="H18" s="97" t="str">
        <x:v>Y</x:v>
      </x:c>
      <x:c r="I18" s="97" t="str">
        <x:v>N</x:v>
      </x:c>
      <x:c r="J18" s="97" t="str">
        <x:v>-</x:v>
      </x:c>
      <x:c r="K18" s="96" t="str">
        <x:v>Local 입력은 hash 전 Backend 정규식 검증: ^(?=.*[A-Za-z])(?=.*\d)(?=.*[!@#$%^&amp;*()_+\-=\[\]{};':"\\|,.&lt;&gt;/?])(?!.*\s).{8,20}$</x:v>
      </x:c>
      <x:c r="L18" s="96" t="str">
        <x:v>-</x:v>
      </x:c>
      <x:c r="M18" s="96" t="str">
        <x:v>AUTH/MY</x:v>
      </x:c>
      <x:c r="N18" s="96" t="str">
        <x:v>DB에는 hash만 저장; 정규식은 password_hash에 직접 적용하지 않음</x:v>
      </x:c>
      <x:c r="O18" s="94" t="str">
        <x:v>N</x:v>
      </x:c>
      <x:c r="P18" s="94" t="str">
        <x:v>확정</x:v>
      </x:c>
      <x:c r="Q18" s="95" t="str">
        <x:v>비밀번호 규칙 확정; Backend validation → Argon2id/bcrypt 등으로 hash</x:v>
      </x:c>
      <x:c r="R18" s="87" t="str">
        <x:v>-</x:v>
      </x:c>
    </x:row>
    <x:row r="19" ht="42" customHeight="1">
      <x:c r="A19" s="96" t="str">
        <x:v>auth_accounts</x:v>
      </x:c>
      <x:c r="B19" s="96" t="str">
        <x:v>created_at</x:v>
      </x:c>
      <x:c r="C19" s="96" t="str">
        <x:v>연결일시</x:v>
      </x:c>
      <x:c r="D19" s="96" t="str">
        <x:v>timestamptz</x:v>
      </x:c>
      <x:c r="E19" s="97" t="str">
        <x:v>N</x:v>
      </x:c>
      <x:c r="F19" s="97" t="str">
        <x:v>N</x:v>
      </x:c>
      <x:c r="G19" s="96" t="str">
        <x:v>-</x:v>
      </x:c>
      <x:c r="H19" s="97" t="str">
        <x:v>N</x:v>
      </x:c>
      <x:c r="I19" s="97" t="str">
        <x:v>N</x:v>
      </x:c>
      <x:c r="J19" s="97" t="str">
        <x:v>now()</x:v>
      </x:c>
      <x:c r="K19" s="96" t="str">
        <x:v>-</x:v>
      </x:c>
      <x:c r="L19" s="96" t="str">
        <x:v>-</x:v>
      </x:c>
      <x:c r="M19" s="96" t="str">
        <x:v>AUTH</x:v>
      </x:c>
      <x:c r="N19" s="96" t="str">
        <x:v>-</x:v>
      </x:c>
      <x:c r="O19" s="94" t="str">
        <x:v>N</x:v>
      </x:c>
      <x:c r="P19" s="94" t="str">
        <x:v>OK</x:v>
      </x:c>
      <x:c r="Q19" s="95"/>
      <x:c r="R19" s="87" t="str">
        <x:v>-</x:v>
      </x:c>
    </x:row>
    <x:row r="20" s="24" customFormat="1" ht="42" customHeight="1">
      <x:c r="A20" s="98" t="str">
        <x:v>auth_accounts</x:v>
      </x:c>
      <x:c r="B20" s="98" t="str">
        <x:v>last_used_at</x:v>
      </x:c>
      <x:c r="C20" s="98" t="str">
        <x:v>마지막 인증 사용</x:v>
      </x:c>
      <x:c r="D20" s="98" t="str">
        <x:v>timestamptz</x:v>
      </x:c>
      <x:c r="E20" s="99" t="str">
        <x:v>N</x:v>
      </x:c>
      <x:c r="F20" s="99" t="str">
        <x:v>N</x:v>
      </x:c>
      <x:c r="G20" s="98" t="str">
        <x:v>-</x:v>
      </x:c>
      <x:c r="H20" s="99" t="str">
        <x:v>Y</x:v>
      </x:c>
      <x:c r="I20" s="99" t="str">
        <x:v>N</x:v>
      </x:c>
      <x:c r="J20" s="99" t="str">
        <x:v>-</x:v>
      </x:c>
      <x:c r="K20" s="98" t="str">
        <x:v>-</x:v>
      </x:c>
      <x:c r="L20" s="98" t="str">
        <x:v>INDEX</x:v>
      </x:c>
      <x:c r="M20" s="98" t="str">
        <x:v>AUTH/A-MEMBER</x:v>
      </x:c>
      <x:c r="N20" s="98" t="str">
        <x:v>-</x:v>
      </x:c>
      <x:c r="O20" s="94" t="str">
        <x:v>N</x:v>
      </x:c>
      <x:c r="P20" s="94" t="str">
        <x:v>OK</x:v>
      </x:c>
      <x:c r="Q20" s="95"/>
      <x:c r="R20" s="87" t="str">
        <x:v>-</x:v>
      </x:c>
    </x:row>
    <x:row r="21" ht="42" customHeight="1">
      <x:c r="A21" s="91" t="str">
        <x:v>user_sessions</x:v>
      </x:c>
      <x:c r="B21" s="92" t="str">
        <x:v>id</x:v>
      </x:c>
      <x:c r="C21" s="92" t="str">
        <x:v>세션 PK</x:v>
      </x:c>
      <x:c r="D21" s="92" t="str">
        <x:v>uuid</x:v>
      </x:c>
      <x:c r="E21" s="93" t="str">
        <x:v>Y</x:v>
      </x:c>
      <x:c r="F21" s="93" t="str">
        <x:v>N</x:v>
      </x:c>
      <x:c r="G21" s="92" t="str">
        <x:v>-</x:v>
      </x:c>
      <x:c r="H21" s="93" t="str">
        <x:v>N</x:v>
      </x:c>
      <x:c r="I21" s="93" t="str">
        <x:v>N</x:v>
      </x:c>
      <x:c r="J21" s="93" t="str">
        <x:v>gen_random_uuid()</x:v>
      </x:c>
      <x:c r="K21" s="92" t="str">
        <x:v>-</x:v>
      </x:c>
      <x:c r="L21" s="92" t="str">
        <x:v>PK</x:v>
      </x:c>
      <x:c r="M21" s="92" t="str">
        <x:v>AUTH</x:v>
      </x:c>
      <x:c r="N21" s="92" t="str">
        <x:v>-</x:v>
      </x:c>
      <x:c r="O21" s="94" t="str">
        <x:v>N</x:v>
      </x:c>
      <x:c r="P21" s="94" t="str">
        <x:v>수정 반영</x:v>
      </x:c>
      <x:c r="Q21" s="95" t="str">
        <x:v>PK 자체가 NOT NULL + UNIQUE를 보장하므로 별도 UNIQUE 플래그 제거</x:v>
      </x:c>
      <x:c r="R21" s="87" t="str">
        <x:v>-</x:v>
      </x:c>
    </x:row>
    <x:row r="22" ht="42" customHeight="1">
      <x:c r="A22" s="96" t="str">
        <x:v>user_sessions</x:v>
      </x:c>
      <x:c r="B22" s="96" t="str">
        <x:v>user_id</x:v>
      </x:c>
      <x:c r="C22" s="96" t="str">
        <x:v>회원 FK</x:v>
      </x:c>
      <x:c r="D22" s="96" t="str">
        <x:v>uuid</x:v>
      </x:c>
      <x:c r="E22" s="97" t="str">
        <x:v>N</x:v>
      </x:c>
      <x:c r="F22" s="97" t="str">
        <x:v>Y</x:v>
      </x:c>
      <x:c r="G22" s="96" t="str">
        <x:v>users.id</x:v>
      </x:c>
      <x:c r="H22" s="97" t="str">
        <x:v>N</x:v>
      </x:c>
      <x:c r="I22" s="97" t="str">
        <x:v>N</x:v>
      </x:c>
      <x:c r="J22" s="97" t="str">
        <x:v>-</x:v>
      </x:c>
      <x:c r="K22" s="96" t="str">
        <x:v>-</x:v>
      </x:c>
      <x:c r="L22" s="96" t="str">
        <x:v>INDEX</x:v>
      </x:c>
      <x:c r="M22" s="96" t="str">
        <x:v>AUTH</x:v>
      </x:c>
      <x:c r="N22" s="96" t="str">
        <x:v>-</x:v>
      </x:c>
      <x:c r="O22" s="94" t="str">
        <x:v>N</x:v>
      </x:c>
      <x:c r="P22" s="94" t="str">
        <x:v>OK</x:v>
      </x:c>
      <x:c r="Q22" s="95"/>
      <x:c r="R22" s="87" t="str">
        <x:v>CASCADE</x:v>
      </x:c>
    </x:row>
    <x:row r="23" ht="42" customHeight="1">
      <x:c r="A23" s="96" t="str">
        <x:v>user_sessions</x:v>
      </x:c>
      <x:c r="B23" s="96" t="str">
        <x:v>auth_account_id</x:v>
      </x:c>
      <x:c r="C23" s="96" t="str">
        <x:v>사용 인증수단 FK</x:v>
      </x:c>
      <x:c r="D23" s="96" t="str">
        <x:v>uuid</x:v>
      </x:c>
      <x:c r="E23" s="97" t="str">
        <x:v>N</x:v>
      </x:c>
      <x:c r="F23" s="97" t="str">
        <x:v>Y</x:v>
      </x:c>
      <x:c r="G23" s="96" t="str">
        <x:v>auth_accounts.id</x:v>
      </x:c>
      <x:c r="H23" s="97" t="str">
        <x:v>Y</x:v>
      </x:c>
      <x:c r="I23" s="97" t="str">
        <x:v>N</x:v>
      </x:c>
      <x:c r="J23" s="97" t="str">
        <x:v>-</x:v>
      </x:c>
      <x:c r="K23" s="96" t="str">
        <x:v>-</x:v>
      </x:c>
      <x:c r="L23" s="96" t="str">
        <x:v>INDEX</x:v>
      </x:c>
      <x:c r="M23" s="96" t="str">
        <x:v>AUTH</x:v>
      </x:c>
      <x:c r="N23" s="96" t="str">
        <x:v>-</x:v>
      </x:c>
      <x:c r="O23" s="94" t="str">
        <x:v>N</x:v>
      </x:c>
      <x:c r="P23" s="94" t="str">
        <x:v>OK</x:v>
      </x:c>
      <x:c r="Q23" s="95"/>
      <x:c r="R23" s="87" t="str">
        <x:v>SET NULL</x:v>
      </x:c>
    </x:row>
    <x:row r="24" ht="42" customHeight="1">
      <x:c r="A24" s="96" t="str">
        <x:v>user_sessions</x:v>
      </x:c>
      <x:c r="B24" s="96" t="str">
        <x:v>refresh_token_hash</x:v>
      </x:c>
      <x:c r="C24" s="96" t="str">
        <x:v>Refresh token hash</x:v>
      </x:c>
      <x:c r="D24" s="96" t="str">
        <x:v>text</x:v>
      </x:c>
      <x:c r="E24" s="97" t="str">
        <x:v>N</x:v>
      </x:c>
      <x:c r="F24" s="97" t="str">
        <x:v>N</x:v>
      </x:c>
      <x:c r="G24" s="96" t="str">
        <x:v>-</x:v>
      </x:c>
      <x:c r="H24" s="97" t="str">
        <x:v>N</x:v>
      </x:c>
      <x:c r="I24" s="97" t="str">
        <x:v>Y</x:v>
      </x:c>
      <x:c r="J24" s="97" t="str">
        <x:v>-</x:v>
      </x:c>
      <x:c r="K24" s="96" t="str">
        <x:v>원문 금지</x:v>
      </x:c>
      <x:c r="L24" s="96" t="str">
        <x:v>UNIQUE</x:v>
      </x:c>
      <x:c r="M24" s="96" t="str">
        <x:v>AUTH</x:v>
      </x:c>
      <x:c r="N24" s="96" t="str">
        <x:v>-</x:v>
      </x:c>
      <x:c r="O24" s="94" t="str">
        <x:v>N</x:v>
      </x:c>
      <x:c r="P24" s="94" t="str">
        <x:v>OK</x:v>
      </x:c>
      <x:c r="Q24" s="95"/>
      <x:c r="R24" s="87" t="str">
        <x:v>-</x:v>
      </x:c>
    </x:row>
    <x:row r="25" ht="42" customHeight="1">
      <x:c r="A25" s="96" t="str">
        <x:v>user_sessions</x:v>
      </x:c>
      <x:c r="B25" s="96" t="str">
        <x:v>expires_at</x:v>
      </x:c>
      <x:c r="C25" s="96" t="str">
        <x:v>자동로그인 만료</x:v>
      </x:c>
      <x:c r="D25" s="96" t="str">
        <x:v>timestamptz</x:v>
      </x:c>
      <x:c r="E25" s="97" t="str">
        <x:v>N</x:v>
      </x:c>
      <x:c r="F25" s="97" t="str">
        <x:v>N</x:v>
      </x:c>
      <x:c r="G25" s="96" t="str">
        <x:v>-</x:v>
      </x:c>
      <x:c r="H25" s="97" t="str">
        <x:v>N</x:v>
      </x:c>
      <x:c r="I25" s="97" t="str">
        <x:v>N</x:v>
      </x:c>
      <x:c r="J25" s="97" t="str">
        <x:v>-</x:v>
      </x:c>
      <x:c r="K25" s="96" t="str">
        <x:v>최대 30일</x:v>
      </x:c>
      <x:c r="L25" s="96" t="str">
        <x:v>INDEX</x:v>
      </x:c>
      <x:c r="M25" s="96" t="str">
        <x:v>AUTH</x:v>
      </x:c>
      <x:c r="N25" s="96" t="str">
        <x:v>-</x:v>
      </x:c>
      <x:c r="O25" s="94" t="str">
        <x:v>N</x:v>
      </x:c>
      <x:c r="P25" s="94" t="str">
        <x:v>OK</x:v>
      </x:c>
      <x:c r="Q25" s="95"/>
      <x:c r="R25" s="87" t="str">
        <x:v>-</x:v>
      </x:c>
    </x:row>
    <x:row r="26" s="24" customFormat="1" ht="42" customHeight="1">
      <x:c r="A26" s="98" t="str">
        <x:v>user_sessions</x:v>
      </x:c>
      <x:c r="B26" s="98" t="str">
        <x:v>revoked_at</x:v>
      </x:c>
      <x:c r="C26" s="98" t="str">
        <x:v>폐기시각</x:v>
      </x:c>
      <x:c r="D26" s="98" t="str">
        <x:v>timestamptz</x:v>
      </x:c>
      <x:c r="E26" s="99" t="str">
        <x:v>N</x:v>
      </x:c>
      <x:c r="F26" s="99" t="str">
        <x:v>N</x:v>
      </x:c>
      <x:c r="G26" s="98" t="str">
        <x:v>-</x:v>
      </x:c>
      <x:c r="H26" s="99" t="str">
        <x:v>Y</x:v>
      </x:c>
      <x:c r="I26" s="99" t="str">
        <x:v>N</x:v>
      </x:c>
      <x:c r="J26" s="99" t="str">
        <x:v>-</x:v>
      </x:c>
      <x:c r="K26" s="98" t="str">
        <x:v>-</x:v>
      </x:c>
      <x:c r="L26" s="98" t="str">
        <x:v>INDEX</x:v>
      </x:c>
      <x:c r="M26" s="98" t="str">
        <x:v>AUTH/MY</x:v>
      </x:c>
      <x:c r="N26" s="98" t="str">
        <x:v>-</x:v>
      </x:c>
      <x:c r="O26" s="94" t="str">
        <x:v>N</x:v>
      </x:c>
      <x:c r="P26" s="94" t="str">
        <x:v>OK</x:v>
      </x:c>
      <x:c r="Q26" s="95"/>
      <x:c r="R26" s="87" t="str">
        <x:v>-</x:v>
      </x:c>
    </x:row>
    <x:row r="27" s="24" customFormat="1" ht="42" customHeight="1">
      <x:c r="A27" s="98" t="str">
        <x:v>user_sessions</x:v>
      </x:c>
      <x:c r="B27" s="98" t="str">
        <x:v>user_agent</x:v>
      </x:c>
      <x:c r="C27" s="98" t="str">
        <x:v>기기/브라우저</x:v>
      </x:c>
      <x:c r="D27" s="98" t="str">
        <x:v>text</x:v>
      </x:c>
      <x:c r="E27" s="99" t="str">
        <x:v>N</x:v>
      </x:c>
      <x:c r="F27" s="99" t="str">
        <x:v>N</x:v>
      </x:c>
      <x:c r="G27" s="98" t="str">
        <x:v>-</x:v>
      </x:c>
      <x:c r="H27" s="99" t="str">
        <x:v>Y</x:v>
      </x:c>
      <x:c r="I27" s="99" t="str">
        <x:v>N</x:v>
      </x:c>
      <x:c r="J27" s="99" t="str">
        <x:v>-</x:v>
      </x:c>
      <x:c r="K27" s="98" t="str">
        <x:v>-</x:v>
      </x:c>
      <x:c r="L27" s="98" t="str">
        <x:v>-</x:v>
      </x:c>
      <x:c r="M27" s="98" t="str">
        <x:v>AUTH</x:v>
      </x:c>
      <x:c r="N27" s="98" t="str">
        <x:v>선택</x:v>
      </x:c>
      <x:c r="O27" s="94" t="str">
        <x:v>N</x:v>
      </x:c>
      <x:c r="P27" s="94" t="str">
        <x:v>OK</x:v>
      </x:c>
      <x:c r="Q27" s="95"/>
      <x:c r="R27" s="87" t="str">
        <x:v>-</x:v>
      </x:c>
    </x:row>
    <x:row r="28" s="24" customFormat="1" ht="42" customHeight="1">
      <x:c r="A28" s="98" t="str">
        <x:v>user_sessions</x:v>
      </x:c>
      <x:c r="B28" s="98" t="str">
        <x:v>ip_address</x:v>
      </x:c>
      <x:c r="C28" s="98" t="str">
        <x:v>접속 IP</x:v>
      </x:c>
      <x:c r="D28" s="98" t="str">
        <x:v>inet</x:v>
      </x:c>
      <x:c r="E28" s="99" t="str">
        <x:v>N</x:v>
      </x:c>
      <x:c r="F28" s="99" t="str">
        <x:v>N</x:v>
      </x:c>
      <x:c r="G28" s="98" t="str">
        <x:v>-</x:v>
      </x:c>
      <x:c r="H28" s="99" t="str">
        <x:v>Y</x:v>
      </x:c>
      <x:c r="I28" s="99" t="str">
        <x:v>N</x:v>
      </x:c>
      <x:c r="J28" s="99" t="str">
        <x:v>-</x:v>
      </x:c>
      <x:c r="K28" s="98" t="str">
        <x:v>-</x:v>
      </x:c>
      <x:c r="L28" s="98" t="str">
        <x:v>-</x:v>
      </x:c>
      <x:c r="M28" s="98" t="str">
        <x:v>AUTH</x:v>
      </x:c>
      <x:c r="N28" s="98" t="str">
        <x:v>보존기간 검토</x:v>
      </x:c>
      <x:c r="O28" s="94" t="str">
        <x:v>N</x:v>
      </x:c>
      <x:c r="P28" s="94" t="str">
        <x:v>권장 확인</x:v>
      </x:c>
      <x:c r="Q28" s="95" t="str">
        <x:v>세션 보안/운영 목적의 선택값; 보존기간을 짧게 정함</x:v>
      </x:c>
      <x:c r="R28" s="87" t="str">
        <x:v>-</x:v>
      </x:c>
    </x:row>
    <x:row r="29" ht="42" customHeight="1">
      <x:c r="A29" s="96" t="str">
        <x:v>user_sessions</x:v>
      </x:c>
      <x:c r="B29" s="96" t="str">
        <x:v>created_at</x:v>
      </x:c>
      <x:c r="C29" s="96" t="str">
        <x:v>생성일시</x:v>
      </x:c>
      <x:c r="D29" s="96" t="str">
        <x:v>timestamptz</x:v>
      </x:c>
      <x:c r="E29" s="97" t="str">
        <x:v>N</x:v>
      </x:c>
      <x:c r="F29" s="97" t="str">
        <x:v>N</x:v>
      </x:c>
      <x:c r="G29" s="96" t="str">
        <x:v>-</x:v>
      </x:c>
      <x:c r="H29" s="97" t="str">
        <x:v>N</x:v>
      </x:c>
      <x:c r="I29" s="97" t="str">
        <x:v>N</x:v>
      </x:c>
      <x:c r="J29" s="97" t="str">
        <x:v>now()</x:v>
      </x:c>
      <x:c r="K29" s="96" t="str">
        <x:v>-</x:v>
      </x:c>
      <x:c r="L29" s="96" t="str">
        <x:v>-</x:v>
      </x:c>
      <x:c r="M29" s="96" t="str">
        <x:v>AUTH</x:v>
      </x:c>
      <x:c r="N29" s="96" t="str">
        <x:v>-</x:v>
      </x:c>
      <x:c r="O29" s="94" t="str">
        <x:v>N</x:v>
      </x:c>
      <x:c r="P29" s="94" t="str">
        <x:v>OK</x:v>
      </x:c>
      <x:c r="Q29" s="95"/>
      <x:c r="R29" s="87" t="str">
        <x:v>-</x:v>
      </x:c>
    </x:row>
    <x:row r="30" ht="42" customHeight="1">
      <x:c r="A30" s="96" t="str">
        <x:v>user_sessions</x:v>
      </x:c>
      <x:c r="B30" s="96" t="str">
        <x:v>last_used_at</x:v>
      </x:c>
      <x:c r="C30" s="96" t="str">
        <x:v>마지막 사용</x:v>
      </x:c>
      <x:c r="D30" s="96" t="str">
        <x:v>timestamptz</x:v>
      </x:c>
      <x:c r="E30" s="97" t="str">
        <x:v>N</x:v>
      </x:c>
      <x:c r="F30" s="97" t="str">
        <x:v>N</x:v>
      </x:c>
      <x:c r="G30" s="96" t="str">
        <x:v>-</x:v>
      </x:c>
      <x:c r="H30" s="97" t="str">
        <x:v>Y</x:v>
      </x:c>
      <x:c r="I30" s="97" t="str">
        <x:v>N</x:v>
      </x:c>
      <x:c r="J30" s="97" t="str">
        <x:v>-</x:v>
      </x:c>
      <x:c r="K30" s="96" t="str">
        <x:v>-</x:v>
      </x:c>
      <x:c r="L30" s="96" t="str">
        <x:v>INDEX</x:v>
      </x:c>
      <x:c r="M30" s="96" t="str">
        <x:v>AUTH</x:v>
      </x:c>
      <x:c r="N30" s="96" t="str">
        <x:v>-</x:v>
      </x:c>
      <x:c r="O30" s="94" t="str">
        <x:v>N</x:v>
      </x:c>
      <x:c r="P30" s="94" t="str">
        <x:v>OK</x:v>
      </x:c>
      <x:c r="Q30" s="95"/>
      <x:c r="R30" s="87" t="str">
        <x:v>-</x:v>
      </x:c>
    </x:row>
    <x:row r="31" ht="42" customHeight="1">
      <x:c r="A31" s="91" t="str">
        <x:v>email_verifications</x:v>
      </x:c>
      <x:c r="B31" s="92" t="str">
        <x:v>id</x:v>
      </x:c>
      <x:c r="C31" s="92" t="str">
        <x:v>인증요청 PK</x:v>
      </x:c>
      <x:c r="D31" s="92" t="str">
        <x:v>uuid</x:v>
      </x:c>
      <x:c r="E31" s="93" t="str">
        <x:v>Y</x:v>
      </x:c>
      <x:c r="F31" s="93" t="str">
        <x:v>N</x:v>
      </x:c>
      <x:c r="G31" s="92" t="str">
        <x:v>-</x:v>
      </x:c>
      <x:c r="H31" s="93" t="str">
        <x:v>N</x:v>
      </x:c>
      <x:c r="I31" s="93" t="str">
        <x:v>N</x:v>
      </x:c>
      <x:c r="J31" s="93" t="str">
        <x:v>gen_random_uuid()</x:v>
      </x:c>
      <x:c r="K31" s="92" t="str">
        <x:v>-</x:v>
      </x:c>
      <x:c r="L31" s="92" t="str">
        <x:v>PK</x:v>
      </x:c>
      <x:c r="M31" s="92" t="str">
        <x:v>AUTH-004/006</x:v>
      </x:c>
      <x:c r="N31" s="92" t="str">
        <x:v>-</x:v>
      </x:c>
      <x:c r="O31" s="94" t="str">
        <x:v>N</x:v>
      </x:c>
      <x:c r="P31" s="94" t="str">
        <x:v>수정 반영</x:v>
      </x:c>
      <x:c r="Q31" s="95" t="str">
        <x:v>PK 자체가 NOT NULL + UNIQUE를 보장하므로 별도 UNIQUE 플래그 제거</x:v>
      </x:c>
      <x:c r="R31" s="87" t="str">
        <x:v>-</x:v>
      </x:c>
    </x:row>
    <x:row r="32" ht="42" customHeight="1">
      <x:c r="A32" s="96" t="str">
        <x:v>email_verifications</x:v>
      </x:c>
      <x:c r="B32" s="96" t="str">
        <x:v>user_id</x:v>
      </x:c>
      <x:c r="C32" s="96" t="str">
        <x:v>회원 FK</x:v>
      </x:c>
      <x:c r="D32" s="96" t="str">
        <x:v>uuid</x:v>
      </x:c>
      <x:c r="E32" s="97" t="str">
        <x:v>N</x:v>
      </x:c>
      <x:c r="F32" s="97" t="str">
        <x:v>Y</x:v>
      </x:c>
      <x:c r="G32" s="96" t="str">
        <x:v>users.id</x:v>
      </x:c>
      <x:c r="H32" s="97" t="str">
        <x:v>Y</x:v>
      </x:c>
      <x:c r="I32" s="97" t="str">
        <x:v>N</x:v>
      </x:c>
      <x:c r="J32" s="97" t="str">
        <x:v>-</x:v>
      </x:c>
      <x:c r="K32" s="96" t="str">
        <x:v>-</x:v>
      </x:c>
      <x:c r="L32" s="96" t="str">
        <x:v>INDEX</x:v>
      </x:c>
      <x:c r="M32" s="96" t="str">
        <x:v>AUTH-006</x:v>
      </x:c>
      <x:c r="N32" s="96" t="str">
        <x:v>가입 전은 NULL</x:v>
      </x:c>
      <x:c r="O32" s="94" t="str">
        <x:v>N</x:v>
      </x:c>
      <x:c r="P32" s="94" t="str">
        <x:v>OK</x:v>
      </x:c>
      <x:c r="Q32" s="95"/>
      <x:c r="R32" s="87" t="str">
        <x:v>CASCADE</x:v>
      </x:c>
    </x:row>
    <x:row r="33" ht="42" customHeight="1">
      <x:c r="A33" s="96" t="str">
        <x:v>email_verifications</x:v>
      </x:c>
      <x:c r="B33" s="96" t="str">
        <x:v>email</x:v>
      </x:c>
      <x:c r="C33" s="96" t="str">
        <x:v>대상 이메일</x:v>
      </x:c>
      <x:c r="D33" s="96" t="str">
        <x:v>varchar(255)</x:v>
      </x:c>
      <x:c r="E33" s="97" t="str">
        <x:v>N</x:v>
      </x:c>
      <x:c r="F33" s="97" t="str">
        <x:v>N</x:v>
      </x:c>
      <x:c r="G33" s="96" t="str">
        <x:v>-</x:v>
      </x:c>
      <x:c r="H33" s="97" t="str">
        <x:v>N</x:v>
      </x:c>
      <x:c r="I33" s="97" t="str">
        <x:v>N</x:v>
      </x:c>
      <x:c r="J33" s="97" t="str">
        <x:v>-</x:v>
      </x:c>
      <x:c r="K33" s="96" t="str">
        <x:v>Backend 입력: ^[a-zA-Z0-9._%+-]+@[a-zA-Z0-9.-]+\.[a-zA-Z]{2,}$; trim + lowercase</x:v>
      </x:c>
      <x:c r="L33" s="96" t="str">
        <x:v>INDEX</x:v>
      </x:c>
      <x:c r="M33" s="96" t="str">
        <x:v>AUTH-004/006</x:v>
      </x:c>
      <x:c r="N33" s="96" t="str">
        <x:v>정규화된 lowercase 이메일 저장</x:v>
      </x:c>
      <x:c r="O33" s="94" t="str">
        <x:v>N</x:v>
      </x:c>
      <x:c r="P33" s="94" t="str">
        <x:v>확정</x:v>
      </x:c>
      <x:c r="Q33" s="95" t="str">
        <x:v>citext 미사용</x:v>
      </x:c>
      <x:c r="R33" s="87" t="str">
        <x:v>-</x:v>
      </x:c>
    </x:row>
    <x:row r="34" s="24" customFormat="1" ht="42" customHeight="1">
      <x:c r="A34" s="98" t="str">
        <x:v>email_verifications</x:v>
      </x:c>
      <x:c r="B34" s="98" t="str">
        <x:v>purpose</x:v>
      </x:c>
      <x:c r="C34" s="98" t="str">
        <x:v>인증 목적</x:v>
      </x:c>
      <x:c r="D34" s="98" t="str">
        <x:v>varchar(20)</x:v>
      </x:c>
      <x:c r="E34" s="99" t="str">
        <x:v>N</x:v>
      </x:c>
      <x:c r="F34" s="99" t="str">
        <x:v>N</x:v>
      </x:c>
      <x:c r="G34" s="98" t="str">
        <x:v>-</x:v>
      </x:c>
      <x:c r="H34" s="99" t="str">
        <x:v>N</x:v>
      </x:c>
      <x:c r="I34" s="99" t="str">
        <x:v>N</x:v>
      </x:c>
      <x:c r="J34" s="99" t="str">
        <x:v>-</x:v>
      </x:c>
      <x:c r="K34" s="98" t="str">
        <x:v>signup/password_reset</x:v>
      </x:c>
      <x:c r="L34" s="98" t="str">
        <x:v>INDEX</x:v>
      </x:c>
      <x:c r="M34" s="98" t="str">
        <x:v>AUTH-004/006</x:v>
      </x:c>
      <x:c r="N34" s="98" t="str">
        <x:v>-</x:v>
      </x:c>
      <x:c r="O34" s="94" t="str">
        <x:v>N</x:v>
      </x:c>
      <x:c r="P34" s="94" t="str">
        <x:v>OK</x:v>
      </x:c>
      <x:c r="Q34" s="95"/>
      <x:c r="R34" s="87" t="str">
        <x:v>-</x:v>
      </x:c>
    </x:row>
    <x:row r="35" ht="42" customHeight="1">
      <x:c r="A35" s="96" t="str">
        <x:v>email_verifications</x:v>
      </x:c>
      <x:c r="B35" s="96" t="str">
        <x:v>code_hash</x:v>
      </x:c>
      <x:c r="C35" s="96" t="str">
        <x:v>인증코드 hash</x:v>
      </x:c>
      <x:c r="D35" s="96" t="str">
        <x:v>text</x:v>
      </x:c>
      <x:c r="E35" s="97" t="str">
        <x:v>N</x:v>
      </x:c>
      <x:c r="F35" s="97" t="str">
        <x:v>N</x:v>
      </x:c>
      <x:c r="G35" s="96" t="str">
        <x:v>-</x:v>
      </x:c>
      <x:c r="H35" s="97" t="str">
        <x:v>N</x:v>
      </x:c>
      <x:c r="I35" s="97" t="str">
        <x:v>N</x:v>
      </x:c>
      <x:c r="J35" s="97" t="str">
        <x:v>-</x:v>
      </x:c>
      <x:c r="K35" s="96" t="str">
        <x:v>원문 금지</x:v>
      </x:c>
      <x:c r="L35" s="96" t="str">
        <x:v>-</x:v>
      </x:c>
      <x:c r="M35" s="96" t="str">
        <x:v>AUTH-004/006</x:v>
      </x:c>
      <x:c r="N35" s="96" t="str">
        <x:v>-</x:v>
      </x:c>
      <x:c r="O35" s="94" t="str">
        <x:v>N</x:v>
      </x:c>
      <x:c r="P35" s="94" t="str">
        <x:v>OK</x:v>
      </x:c>
      <x:c r="Q35" s="95"/>
      <x:c r="R35" s="87" t="str">
        <x:v>-</x:v>
      </x:c>
    </x:row>
    <x:row r="36" ht="42" customHeight="1">
      <x:c r="A36" s="96" t="str">
        <x:v>email_verifications</x:v>
      </x:c>
      <x:c r="B36" s="96" t="str">
        <x:v>expires_at</x:v>
      </x:c>
      <x:c r="C36" s="96" t="str">
        <x:v>만료시각</x:v>
      </x:c>
      <x:c r="D36" s="96" t="str">
        <x:v>timestamptz</x:v>
      </x:c>
      <x:c r="E36" s="97" t="str">
        <x:v>N</x:v>
      </x:c>
      <x:c r="F36" s="97" t="str">
        <x:v>N</x:v>
      </x:c>
      <x:c r="G36" s="96" t="str">
        <x:v>-</x:v>
      </x:c>
      <x:c r="H36" s="97" t="str">
        <x:v>N</x:v>
      </x:c>
      <x:c r="I36" s="97" t="str">
        <x:v>N</x:v>
      </x:c>
      <x:c r="J36" s="97" t="str">
        <x:v>-</x:v>
      </x:c>
      <x:c r="K36" s="96" t="str">
        <x:v>-</x:v>
      </x:c>
      <x:c r="L36" s="96" t="str">
        <x:v>INDEX</x:v>
      </x:c>
      <x:c r="M36" s="96" t="str">
        <x:v>AUTH-004/006</x:v>
      </x:c>
      <x:c r="N36" s="96" t="str">
        <x:v>-</x:v>
      </x:c>
      <x:c r="O36" s="94" t="str">
        <x:v>N</x:v>
      </x:c>
      <x:c r="P36" s="94" t="str">
        <x:v>OK</x:v>
      </x:c>
      <x:c r="Q36" s="95"/>
      <x:c r="R36" s="87" t="str">
        <x:v>-</x:v>
      </x:c>
    </x:row>
    <x:row r="37" ht="42" customHeight="1">
      <x:c r="A37" s="96" t="str">
        <x:v>email_verifications</x:v>
      </x:c>
      <x:c r="B37" s="96" t="str">
        <x:v>verified_at</x:v>
      </x:c>
      <x:c r="C37" s="96" t="str">
        <x:v>인증완료시각</x:v>
      </x:c>
      <x:c r="D37" s="96" t="str">
        <x:v>timestamptz</x:v>
      </x:c>
      <x:c r="E37" s="97" t="str">
        <x:v>N</x:v>
      </x:c>
      <x:c r="F37" s="97" t="str">
        <x:v>N</x:v>
      </x:c>
      <x:c r="G37" s="96" t="str">
        <x:v>-</x:v>
      </x:c>
      <x:c r="H37" s="97" t="str">
        <x:v>Y</x:v>
      </x:c>
      <x:c r="I37" s="97" t="str">
        <x:v>N</x:v>
      </x:c>
      <x:c r="J37" s="97" t="str">
        <x:v>-</x:v>
      </x:c>
      <x:c r="K37" s="96" t="str">
        <x:v>-</x:v>
      </x:c>
      <x:c r="L37" s="96" t="str">
        <x:v>INDEX</x:v>
      </x:c>
      <x:c r="M37" s="96" t="str">
        <x:v>AUTH-004/006</x:v>
      </x:c>
      <x:c r="N37" s="96" t="str">
        <x:v>-</x:v>
      </x:c>
      <x:c r="O37" s="94" t="str">
        <x:v>N</x:v>
      </x:c>
      <x:c r="P37" s="94" t="str">
        <x:v>OK</x:v>
      </x:c>
      <x:c r="Q37" s="95"/>
      <x:c r="R37" s="87" t="str">
        <x:v>-</x:v>
      </x:c>
    </x:row>
    <x:row r="38" ht="42" customHeight="1">
      <x:c r="A38" s="96" t="str">
        <x:v>email_verifications</x:v>
      </x:c>
      <x:c r="B38" s="96" t="str">
        <x:v>attempt_count</x:v>
      </x:c>
      <x:c r="C38" s="96" t="str">
        <x:v>실패 시도 수</x:v>
      </x:c>
      <x:c r="D38" s="96" t="str">
        <x:v>smallint</x:v>
      </x:c>
      <x:c r="E38" s="97" t="str">
        <x:v>N</x:v>
      </x:c>
      <x:c r="F38" s="97" t="str">
        <x:v>N</x:v>
      </x:c>
      <x:c r="G38" s="96" t="str">
        <x:v>-</x:v>
      </x:c>
      <x:c r="H38" s="97" t="str">
        <x:v>N</x:v>
      </x:c>
      <x:c r="I38" s="97" t="str">
        <x:v>N</x:v>
      </x:c>
      <x:c r="J38" s="97" t="n">
        <x:v>0</x:v>
      </x:c>
      <x:c r="K38" s="96" t="str">
        <x:v>0 이상</x:v>
      </x:c>
      <x:c r="L38" s="96" t="str">
        <x:v>-</x:v>
      </x:c>
      <x:c r="M38" s="96" t="str">
        <x:v>AUTH-004/006</x:v>
      </x:c>
      <x:c r="N38" s="96" t="str">
        <x:v>제한 초과 차단</x:v>
      </x:c>
      <x:c r="O38" s="94" t="str">
        <x:v>N</x:v>
      </x:c>
      <x:c r="P38" s="94" t="str">
        <x:v>OK</x:v>
      </x:c>
      <x:c r="Q38" s="95"/>
      <x:c r="R38" s="87" t="str">
        <x:v>-</x:v>
      </x:c>
    </x:row>
    <x:row r="39" ht="42" customHeight="1">
      <x:c r="A39" s="96" t="str">
        <x:v>email_verifications</x:v>
      </x:c>
      <x:c r="B39" s="96" t="str">
        <x:v>sent_at</x:v>
      </x:c>
      <x:c r="C39" s="96" t="str">
        <x:v>발송시각</x:v>
      </x:c>
      <x:c r="D39" s="96" t="str">
        <x:v>timestamptz</x:v>
      </x:c>
      <x:c r="E39" s="97" t="str">
        <x:v>N</x:v>
      </x:c>
      <x:c r="F39" s="97" t="str">
        <x:v>N</x:v>
      </x:c>
      <x:c r="G39" s="96" t="str">
        <x:v>-</x:v>
      </x:c>
      <x:c r="H39" s="97" t="str">
        <x:v>N</x:v>
      </x:c>
      <x:c r="I39" s="97" t="str">
        <x:v>N</x:v>
      </x:c>
      <x:c r="J39" s="97" t="str">
        <x:v>now()</x:v>
      </x:c>
      <x:c r="K39" s="96" t="str">
        <x:v>-</x:v>
      </x:c>
      <x:c r="L39" s="96" t="str">
        <x:v>INDEX</x:v>
      </x:c>
      <x:c r="M39" s="96" t="str">
        <x:v>AUTH-004/006</x:v>
      </x:c>
      <x:c r="N39" s="96" t="str">
        <x:v>재전송 제한</x:v>
      </x:c>
      <x:c r="O39" s="94" t="str">
        <x:v>N</x:v>
      </x:c>
      <x:c r="P39" s="94" t="str">
        <x:v>OK</x:v>
      </x:c>
      <x:c r="Q39" s="95"/>
      <x:c r="R39" s="87" t="str">
        <x:v>-</x:v>
      </x:c>
    </x:row>
    <x:row r="40" ht="42" customHeight="1">
      <x:c r="A40" s="91" t="str">
        <x:v>user_term_agreements</x:v>
      </x:c>
      <x:c r="B40" s="92" t="str">
        <x:v>id</x:v>
      </x:c>
      <x:c r="C40" s="92" t="str">
        <x:v>약관동의 PK</x:v>
      </x:c>
      <x:c r="D40" s="92" t="str">
        <x:v>uuid</x:v>
      </x:c>
      <x:c r="E40" s="93" t="str">
        <x:v>Y</x:v>
      </x:c>
      <x:c r="F40" s="93" t="str">
        <x:v>N</x:v>
      </x:c>
      <x:c r="G40" s="92" t="str">
        <x:v>-</x:v>
      </x:c>
      <x:c r="H40" s="93" t="str">
        <x:v>N</x:v>
      </x:c>
      <x:c r="I40" s="93" t="str">
        <x:v>N</x:v>
      </x:c>
      <x:c r="J40" s="93" t="str">
        <x:v>gen_random_uuid()</x:v>
      </x:c>
      <x:c r="K40" s="92" t="str">
        <x:v>-</x:v>
      </x:c>
      <x:c r="L40" s="92" t="str">
        <x:v>PK</x:v>
      </x:c>
      <x:c r="M40" s="92" t="str">
        <x:v>AUTH-005</x:v>
      </x:c>
      <x:c r="N40" s="92" t="str">
        <x:v>필수 약관 3종 일괄 동의 기록</x:v>
      </x:c>
      <x:c r="O40" s="94" t="str">
        <x:v>N</x:v>
      </x:c>
      <x:c r="P40" s="94" t="str">
        <x:v>수정 반영</x:v>
      </x:c>
      <x:c r="Q40" s="95" t="str">
        <x:v>terms 테이블 제거 후 동의기록만 유지</x:v>
      </x:c>
      <x:c r="R40" s="87" t="str">
        <x:v>-</x:v>
      </x:c>
    </x:row>
    <x:row r="41" ht="42" customHeight="1">
      <x:c r="A41" s="96" t="str">
        <x:v>user_term_agreements</x:v>
      </x:c>
      <x:c r="B41" s="96" t="str">
        <x:v>user_id</x:v>
      </x:c>
      <x:c r="C41" s="96" t="str">
        <x:v>회원 FK</x:v>
      </x:c>
      <x:c r="D41" s="96" t="str">
        <x:v>uuid</x:v>
      </x:c>
      <x:c r="E41" s="97" t="str">
        <x:v>N</x:v>
      </x:c>
      <x:c r="F41" s="97" t="str">
        <x:v>Y</x:v>
      </x:c>
      <x:c r="G41" s="96" t="str">
        <x:v>users.id</x:v>
      </x:c>
      <x:c r="H41" s="97" t="str">
        <x:v>N</x:v>
      </x:c>
      <x:c r="I41" s="97" t="str">
        <x:v>Y</x:v>
      </x:c>
      <x:c r="J41" s="97" t="str">
        <x:v>-</x:v>
      </x:c>
      <x:c r="K41" s="96" t="str">
        <x:v>-</x:v>
      </x:c>
      <x:c r="L41" s="96" t="str">
        <x:v>UNIQUE</x:v>
      </x:c>
      <x:c r="M41" s="96" t="str">
        <x:v>AUTH-005</x:v>
      </x:c>
      <x:c r="N41" s="96" t="str">
        <x:v>사용자당 1건</x:v>
      </x:c>
      <x:c r="O41" s="94" t="str">
        <x:v>N</x:v>
      </x:c>
      <x:c r="P41" s="94" t="str">
        <x:v>수정 반영</x:v>
      </x:c>
      <x:c r="Q41" s="95" t="str">
        <x:v>terms FK 제거; user_id UNIQUE로 1:1 보장</x:v>
      </x:c>
      <x:c r="R41" s="87" t="str">
        <x:v>CASCADE</x:v>
      </x:c>
    </x:row>
    <x:row r="42" ht="42" customHeight="1">
      <x:c r="A42" s="96" t="str">
        <x:v>user_term_agreements</x:v>
      </x:c>
      <x:c r="B42" s="96" t="str">
        <x:v>agreed_at</x:v>
      </x:c>
      <x:c r="C42" s="96" t="str">
        <x:v>필수 3약관 일괄 동의일시</x:v>
      </x:c>
      <x:c r="D42" s="96" t="str">
        <x:v>timestamptz</x:v>
      </x:c>
      <x:c r="E42" s="97" t="str">
        <x:v>N</x:v>
      </x:c>
      <x:c r="F42" s="97" t="str">
        <x:v>N</x:v>
      </x:c>
      <x:c r="G42" s="96" t="str">
        <x:v>-</x:v>
      </x:c>
      <x:c r="H42" s="97" t="str">
        <x:v>N</x:v>
      </x:c>
      <x:c r="I42" s="97" t="str">
        <x:v>N</x:v>
      </x:c>
      <x:c r="J42" s="97" t="str">
        <x:v>now()</x:v>
      </x:c>
      <x:c r="K42" s="96" t="str">
        <x:v>-</x:v>
      </x:c>
      <x:c r="L42" s="96" t="str">
        <x:v>INDEX</x:v>
      </x:c>
      <x:c r="M42" s="96" t="str">
        <x:v>AUTH-005</x:v>
      </x:c>
      <x:c r="N42" s="96" t="str">
        <x:v>본문/버전은 Frontend 하드코딩</x:v>
      </x:c>
      <x:c r="O42" s="94" t="str">
        <x:v>N</x:v>
      </x:c>
      <x:c r="P42" s="94" t="str">
        <x:v>OK</x:v>
      </x:c>
      <x:c r="Q42" s="95" t="str">
        <x:v>필수 3종 모두 체크 후 가입 완료 시 기록</x:v>
      </x:c>
      <x:c r="R42" s="87" t="str">
        <x:v>-</x:v>
      </x:c>
    </x:row>
    <x:row r="43" ht="42" customHeight="1">
      <x:c r="A43" s="96" t="str">
        <x:v>driving_preferences</x:v>
      </x:c>
      <x:c r="B43" s="96" t="str">
        <x:v>user_id</x:v>
      </x:c>
      <x:c r="C43" s="96" t="str">
        <x:v>회원 PK/FK</x:v>
      </x:c>
      <x:c r="D43" s="96" t="str">
        <x:v>uuid</x:v>
      </x:c>
      <x:c r="E43" s="97" t="str">
        <x:v>Y</x:v>
      </x:c>
      <x:c r="F43" s="97" t="str">
        <x:v>Y</x:v>
      </x:c>
      <x:c r="G43" s="96" t="str">
        <x:v>users.id</x:v>
      </x:c>
      <x:c r="H43" s="97" t="str">
        <x:v>N</x:v>
      </x:c>
      <x:c r="I43" s="97" t="str">
        <x:v>N</x:v>
      </x:c>
      <x:c r="J43" s="97" t="str">
        <x:v>-</x:v>
      </x:c>
      <x:c r="K43" s="96" t="str">
        <x:v>-</x:v>
      </x:c>
      <x:c r="L43" s="96" t="str">
        <x:v>PK</x:v>
      </x:c>
      <x:c r="M43" s="96" t="str">
        <x:v>ONB/MY</x:v>
      </x:c>
      <x:c r="N43" s="96" t="str">
        <x:v>사용자당 1행</x:v>
      </x:c>
      <x:c r="O43" s="94" t="str">
        <x:v>N</x:v>
      </x:c>
      <x:c r="P43" s="94" t="str">
        <x:v>수정 반영</x:v>
      </x:c>
      <x:c r="Q43" s="95" t="str">
        <x:v>PK 자체가 NOT NULL + UNIQUE를 보장하므로 별도 UNIQUE 플래그 제거</x:v>
      </x:c>
      <x:c r="R43" s="87" t="str">
        <x:v>CASCADE</x:v>
      </x:c>
    </x:row>
    <x:row r="44" ht="42" customHeight="1">
      <x:c r="A44" s="96" t="str">
        <x:v>driving_preferences</x:v>
      </x:c>
      <x:c r="B44" s="96" t="str">
        <x:v>intersection_score</x:v>
      </x:c>
      <x:c r="C44" s="96" t="str">
        <x:v>복잡·신호없는 교차로 원점수</x:v>
      </x:c>
      <x:c r="D44" s="96" t="str">
        <x:v>smallint</x:v>
      </x:c>
      <x:c r="E44" s="97" t="str">
        <x:v>N</x:v>
      </x:c>
      <x:c r="F44" s="97" t="str">
        <x:v>N</x:v>
      </x:c>
      <x:c r="G44" s="96" t="str">
        <x:v>-</x:v>
      </x:c>
      <x:c r="H44" s="97" t="str">
        <x:v>N</x:v>
      </x:c>
      <x:c r="I44" s="97" t="str">
        <x:v>N</x:v>
      </x:c>
      <x:c r="J44" s="97" t="str">
        <x:v>-</x:v>
      </x:c>
      <x:c r="K44" s="96" t="str">
        <x:v>BETWEEN 1 AND 5</x:v>
      </x:c>
      <x:c r="L44" s="96" t="str">
        <x:v>-</x:v>
      </x:c>
      <x:c r="M44" s="96" t="str">
        <x:v>ONB-002-01</x:v>
      </x:c>
      <x:c r="N44" s="96" t="str">
        <x:v>-</x:v>
      </x:c>
      <x:c r="O44" s="94" t="str">
        <x:v>N</x:v>
      </x:c>
      <x:c r="P44" s="94" t="str">
        <x:v>OK</x:v>
      </x:c>
      <x:c r="Q44" s="95"/>
      <x:c r="R44" s="87" t="str">
        <x:v>-</x:v>
      </x:c>
    </x:row>
    <x:row r="45" ht="42" customHeight="1">
      <x:c r="A45" s="96" t="str">
        <x:v>driving_preferences</x:v>
      </x:c>
      <x:c r="B45" s="96" t="str">
        <x:v>pedestrian_zone_score</x:v>
      </x:c>
      <x:c r="C45" s="96" t="str">
        <x:v>보행자·보호구역 원점수</x:v>
      </x:c>
      <x:c r="D45" s="96" t="str">
        <x:v>smallint</x:v>
      </x:c>
      <x:c r="E45" s="97" t="str">
        <x:v>N</x:v>
      </x:c>
      <x:c r="F45" s="97" t="str">
        <x:v>N</x:v>
      </x:c>
      <x:c r="G45" s="96" t="str">
        <x:v>-</x:v>
      </x:c>
      <x:c r="H45" s="97" t="str">
        <x:v>N</x:v>
      </x:c>
      <x:c r="I45" s="97" t="str">
        <x:v>N</x:v>
      </x:c>
      <x:c r="J45" s="97" t="str">
        <x:v>-</x:v>
      </x:c>
      <x:c r="K45" s="96" t="str">
        <x:v>BETWEEN 1 AND 5</x:v>
      </x:c>
      <x:c r="L45" s="96" t="str">
        <x:v>-</x:v>
      </x:c>
      <x:c r="M45" s="96" t="str">
        <x:v>ONB-002-02</x:v>
      </x:c>
      <x:c r="N45" s="96" t="str">
        <x:v>-</x:v>
      </x:c>
      <x:c r="O45" s="94" t="str">
        <x:v>N</x:v>
      </x:c>
      <x:c r="P45" s="94" t="str">
        <x:v>OK</x:v>
      </x:c>
      <x:c r="Q45" s="95"/>
      <x:c r="R45" s="87" t="str">
        <x:v>-</x:v>
      </x:c>
    </x:row>
    <x:row r="46" ht="42" customHeight="1">
      <x:c r="A46" s="96" t="str">
        <x:v>driving_preferences</x:v>
      </x:c>
      <x:c r="B46" s="96" t="str">
        <x:v>narrow_road_score</x:v>
      </x:c>
      <x:c r="C46" s="96" t="str">
        <x:v>좁은 도로 원점수</x:v>
      </x:c>
      <x:c r="D46" s="96" t="str">
        <x:v>smallint</x:v>
      </x:c>
      <x:c r="E46" s="97" t="str">
        <x:v>N</x:v>
      </x:c>
      <x:c r="F46" s="97" t="str">
        <x:v>N</x:v>
      </x:c>
      <x:c r="G46" s="96" t="str">
        <x:v>-</x:v>
      </x:c>
      <x:c r="H46" s="97" t="str">
        <x:v>N</x:v>
      </x:c>
      <x:c r="I46" s="97" t="str">
        <x:v>N</x:v>
      </x:c>
      <x:c r="J46" s="97" t="str">
        <x:v>-</x:v>
      </x:c>
      <x:c r="K46" s="96" t="str">
        <x:v>BETWEEN 1 AND 5</x:v>
      </x:c>
      <x:c r="L46" s="96" t="str">
        <x:v>-</x:v>
      </x:c>
      <x:c r="M46" s="96" t="str">
        <x:v>ONB-002-03</x:v>
      </x:c>
      <x:c r="N46" s="96" t="str">
        <x:v>-</x:v>
      </x:c>
      <x:c r="O46" s="94" t="str">
        <x:v>N</x:v>
      </x:c>
      <x:c r="P46" s="94" t="str">
        <x:v>OK</x:v>
      </x:c>
      <x:c r="Q46" s="95"/>
      <x:c r="R46" s="87" t="str">
        <x:v>-</x:v>
      </x:c>
    </x:row>
    <x:row r="47" ht="42" customHeight="1">
      <x:c r="A47" s="96" t="str">
        <x:v>driving_preferences</x:v>
      </x:c>
      <x:c r="B47" s="96" t="str">
        <x:v>turn_conflict_score</x:v>
      </x:c>
      <x:c r="C47" s="96" t="str">
        <x:v>좌회전·유턴 원점수</x:v>
      </x:c>
      <x:c r="D47" s="96" t="str">
        <x:v>smallint</x:v>
      </x:c>
      <x:c r="E47" s="97" t="str">
        <x:v>N</x:v>
      </x:c>
      <x:c r="F47" s="97" t="str">
        <x:v>N</x:v>
      </x:c>
      <x:c r="G47" s="96" t="str">
        <x:v>-</x:v>
      </x:c>
      <x:c r="H47" s="97" t="str">
        <x:v>N</x:v>
      </x:c>
      <x:c r="I47" s="97" t="str">
        <x:v>N</x:v>
      </x:c>
      <x:c r="J47" s="97" t="str">
        <x:v>-</x:v>
      </x:c>
      <x:c r="K47" s="96" t="str">
        <x:v>BETWEEN 1 AND 5</x:v>
      </x:c>
      <x:c r="L47" s="96" t="str">
        <x:v>-</x:v>
      </x:c>
      <x:c r="M47" s="96" t="str">
        <x:v>ONB-002-04</x:v>
      </x:c>
      <x:c r="N47" s="96" t="str">
        <x:v>-</x:v>
      </x:c>
      <x:c r="O47" s="94" t="str">
        <x:v>N</x:v>
      </x:c>
      <x:c r="P47" s="94" t="str">
        <x:v>OK</x:v>
      </x:c>
      <x:c r="Q47" s="95"/>
      <x:c r="R47" s="87" t="str">
        <x:v>-</x:v>
      </x:c>
    </x:row>
    <x:row r="48" ht="42" customHeight="1">
      <x:c r="A48" s="96" t="str">
        <x:v>driving_preferences</x:v>
      </x:c>
      <x:c r="B48" s="96" t="str">
        <x:v>structure_score</x:v>
      </x:c>
      <x:c r="C48" s="96" t="str">
        <x:v>터널·지하차도·교량 원점수</x:v>
      </x:c>
      <x:c r="D48" s="96" t="str">
        <x:v>smallint</x:v>
      </x:c>
      <x:c r="E48" s="97" t="str">
        <x:v>N</x:v>
      </x:c>
      <x:c r="F48" s="97" t="str">
        <x:v>N</x:v>
      </x:c>
      <x:c r="G48" s="96" t="str">
        <x:v>-</x:v>
      </x:c>
      <x:c r="H48" s="97" t="str">
        <x:v>N</x:v>
      </x:c>
      <x:c r="I48" s="97" t="str">
        <x:v>N</x:v>
      </x:c>
      <x:c r="J48" s="97" t="str">
        <x:v>-</x:v>
      </x:c>
      <x:c r="K48" s="96" t="str">
        <x:v>BETWEEN 1 AND 5</x:v>
      </x:c>
      <x:c r="L48" s="96" t="str">
        <x:v>-</x:v>
      </x:c>
      <x:c r="M48" s="96" t="str">
        <x:v>ONB-002-05</x:v>
      </x:c>
      <x:c r="N48" s="96" t="str">
        <x:v>-</x:v>
      </x:c>
      <x:c r="O48" s="94" t="str">
        <x:v>N</x:v>
      </x:c>
      <x:c r="P48" s="94" t="str">
        <x:v>OK</x:v>
      </x:c>
      <x:c r="Q48" s="95"/>
      <x:c r="R48" s="87" t="str">
        <x:v>-</x:v>
      </x:c>
    </x:row>
    <x:row r="49" ht="42" customHeight="1">
      <x:c r="A49" s="91" t="str">
        <x:v>driving_preferences</x:v>
      </x:c>
      <x:c r="B49" s="92" t="str">
        <x:v>completed_at</x:v>
      </x:c>
      <x:c r="C49" s="92" t="str">
        <x:v>설문 완료시각</x:v>
      </x:c>
      <x:c r="D49" s="92" t="str">
        <x:v>timestamptz</x:v>
      </x:c>
      <x:c r="E49" s="93" t="str">
        <x:v>N</x:v>
      </x:c>
      <x:c r="F49" s="93" t="str">
        <x:v>N</x:v>
      </x:c>
      <x:c r="G49" s="92" t="str">
        <x:v>-</x:v>
      </x:c>
      <x:c r="H49" s="93" t="str">
        <x:v>N</x:v>
      </x:c>
      <x:c r="I49" s="93" t="str">
        <x:v>N</x:v>
      </x:c>
      <x:c r="J49" s="93" t="str">
        <x:v>now()</x:v>
      </x:c>
      <x:c r="K49" s="92" t="str">
        <x:v>5개 값 필수</x:v>
      </x:c>
      <x:c r="L49" s="92" t="str">
        <x:v>INDEX</x:v>
      </x:c>
      <x:c r="M49" s="92" t="str">
        <x:v>ONB-003/Splash</x:v>
      </x:c>
      <x:c r="N49" s="92" t="str">
        <x:v>-</x:v>
      </x:c>
      <x:c r="O49" s="94" t="str">
        <x:v>N</x:v>
      </x:c>
      <x:c r="P49" s="94" t="str">
        <x:v>OK</x:v>
      </x:c>
      <x:c r="Q49" s="95"/>
      <x:c r="R49" s="87" t="str">
        <x:v>-</x:v>
      </x:c>
    </x:row>
    <x:row r="50" ht="42" customHeight="1">
      <x:c r="A50" s="96" t="str">
        <x:v>driving_preferences</x:v>
      </x:c>
      <x:c r="B50" s="96" t="str">
        <x:v>updated_at</x:v>
      </x:c>
      <x:c r="C50" s="96" t="str">
        <x:v>재설문 수정일시</x:v>
      </x:c>
      <x:c r="D50" s="96" t="str">
        <x:v>timestamptz</x:v>
      </x:c>
      <x:c r="E50" s="97" t="str">
        <x:v>N</x:v>
      </x:c>
      <x:c r="F50" s="97" t="str">
        <x:v>N</x:v>
      </x:c>
      <x:c r="G50" s="96" t="str">
        <x:v>-</x:v>
      </x:c>
      <x:c r="H50" s="97" t="str">
        <x:v>N</x:v>
      </x:c>
      <x:c r="I50" s="97" t="str">
        <x:v>N</x:v>
      </x:c>
      <x:c r="J50" s="97" t="str">
        <x:v>now()</x:v>
      </x:c>
      <x:c r="K50" s="96" t="str">
        <x:v>-</x:v>
      </x:c>
      <x:c r="L50" s="96" t="str">
        <x:v>-</x:v>
      </x:c>
      <x:c r="M50" s="96" t="str">
        <x:v>MY</x:v>
      </x:c>
      <x:c r="N50" s="96" t="str">
        <x:v>-</x:v>
      </x:c>
      <x:c r="O50" s="94" t="str">
        <x:v>N</x:v>
      </x:c>
      <x:c r="P50" s="94" t="str">
        <x:v>권장 확인</x:v>
      </x:c>
      <x:c r="Q50" s="95" t="str">
        <x:v>updated_at 자동 갱신은 trigger 또는 Backend 처리</x:v>
      </x:c>
      <x:c r="R50" s="87" t="str">
        <x:v>-</x:v>
      </x:c>
    </x:row>
    <x:row r="51" s="24" customFormat="1" ht="42" customHeight="1">
      <x:c r="A51" s="98" t="str">
        <x:v>favorite_places</x:v>
      </x:c>
      <x:c r="B51" s="98" t="str">
        <x:v>id</x:v>
      </x:c>
      <x:c r="C51" s="98" t="str">
        <x:v>장소 PK</x:v>
      </x:c>
      <x:c r="D51" s="98" t="str">
        <x:v>uuid</x:v>
      </x:c>
      <x:c r="E51" s="99" t="str">
        <x:v>Y</x:v>
      </x:c>
      <x:c r="F51" s="99" t="str">
        <x:v>N</x:v>
      </x:c>
      <x:c r="G51" s="98" t="str">
        <x:v>-</x:v>
      </x:c>
      <x:c r="H51" s="99" t="str">
        <x:v>N</x:v>
      </x:c>
      <x:c r="I51" s="99" t="str">
        <x:v>N</x:v>
      </x:c>
      <x:c r="J51" s="99" t="str">
        <x:v>gen_random_uuid()</x:v>
      </x:c>
      <x:c r="K51" s="98" t="str">
        <x:v>-</x:v>
      </x:c>
      <x:c r="L51" s="98" t="str">
        <x:v>PK</x:v>
      </x:c>
      <x:c r="M51" s="98" t="str">
        <x:v>HOME/SAVE</x:v>
      </x:c>
      <x:c r="N51" s="98" t="str">
        <x:v>-</x:v>
      </x:c>
      <x:c r="O51" s="94" t="str">
        <x:v>N</x:v>
      </x:c>
      <x:c r="P51" s="94" t="str">
        <x:v>수정 반영</x:v>
      </x:c>
      <x:c r="Q51" s="95" t="str">
        <x:v>PK 자체가 NOT NULL + UNIQUE를 보장하므로 별도 UNIQUE 플래그 제거</x:v>
      </x:c>
      <x:c r="R51" s="87" t="str">
        <x:v>-</x:v>
      </x:c>
    </x:row>
    <x:row r="52" ht="42" customHeight="1">
      <x:c r="A52" s="96" t="str">
        <x:v>favorite_places</x:v>
      </x:c>
      <x:c r="B52" s="96" t="str">
        <x:v>user_id</x:v>
      </x:c>
      <x:c r="C52" s="96" t="str">
        <x:v>회원 FK</x:v>
      </x:c>
      <x:c r="D52" s="96" t="str">
        <x:v>uuid</x:v>
      </x:c>
      <x:c r="E52" s="97" t="str">
        <x:v>N</x:v>
      </x:c>
      <x:c r="F52" s="97" t="str">
        <x:v>Y</x:v>
      </x:c>
      <x:c r="G52" s="96" t="str">
        <x:v>users.id</x:v>
      </x:c>
      <x:c r="H52" s="97" t="str">
        <x:v>N</x:v>
      </x:c>
      <x:c r="I52" s="97" t="str">
        <x:v>N</x:v>
      </x:c>
      <x:c r="J52" s="97" t="str">
        <x:v>-</x:v>
      </x:c>
      <x:c r="K52" s="96" t="str">
        <x:v>-</x:v>
      </x:c>
      <x:c r="L52" s="96" t="str">
        <x:v>INDEX</x:v>
      </x:c>
      <x:c r="M52" s="96" t="str">
        <x:v>HOME/SAVE</x:v>
      </x:c>
      <x:c r="N52" s="96" t="str">
        <x:v>-</x:v>
      </x:c>
      <x:c r="O52" s="94" t="str">
        <x:v>N</x:v>
      </x:c>
      <x:c r="P52" s="94" t="str">
        <x:v>OK</x:v>
      </x:c>
      <x:c r="Q52" s="95"/>
      <x:c r="R52" s="87" t="str">
        <x:v>CASCADE</x:v>
      </x:c>
    </x:row>
    <x:row r="53" s="27" customFormat="1" ht="42" customHeight="1">
      <x:c r="A53" s="101" t="str">
        <x:v>favorite_places</x:v>
      </x:c>
      <x:c r="B53" s="101" t="str">
        <x:v>place_type</x:v>
      </x:c>
      <x:c r="C53" s="101" t="str">
        <x:v>집/회사/일반</x:v>
      </x:c>
      <x:c r="D53" s="101" t="str">
        <x:v>varchar(20)</x:v>
      </x:c>
      <x:c r="E53" s="102" t="str">
        <x:v>N</x:v>
      </x:c>
      <x:c r="F53" s="102" t="str">
        <x:v>N</x:v>
      </x:c>
      <x:c r="G53" s="101" t="str">
        <x:v>-</x:v>
      </x:c>
      <x:c r="H53" s="102" t="str">
        <x:v>N</x:v>
      </x:c>
      <x:c r="I53" s="102" t="str">
        <x:v>N</x:v>
      </x:c>
      <x:c r="J53" s="102" t="str">
        <x:v>'custom'</x:v>
      </x:c>
      <x:c r="K53" s="101" t="str">
        <x:v>IN ('home','work','custom')</x:v>
      </x:c>
      <x:c r="L53" s="101" t="str">
        <x:v>UNIQUE(user_id,place_type) WHERE place_type IN ('home','work')</x:v>
      </x:c>
      <x:c r="M53" s="101" t="str">
        <x:v>HOME/SAVE</x:v>
      </x:c>
      <x:c r="N53" s="101" t="str">
        <x:v>home/work 각 1개</x:v>
      </x:c>
      <x:c r="O53" s="94" t="str">
        <x:v>N</x:v>
      </x:c>
      <x:c r="P53" s="94" t="str">
        <x:v>수정 반영</x:v>
      </x:c>
      <x:c r="Q53" s="95" t="str">
        <x:v>home/work 각 1개를 partial UNIQUE로 보장; 총 5개 제한은 Backend 검증</x:v>
      </x:c>
      <x:c r="R53" s="87" t="str">
        <x:v>-</x:v>
      </x:c>
    </x:row>
    <x:row r="54" s="24" customFormat="1" ht="42" customHeight="1">
      <x:c r="A54" s="98" t="str">
        <x:v>favorite_places</x:v>
      </x:c>
      <x:c r="B54" s="98" t="str">
        <x:v>place_name</x:v>
      </x:c>
      <x:c r="C54" s="98" t="str">
        <x:v>Kakao 장소명</x:v>
      </x:c>
      <x:c r="D54" s="98" t="str">
        <x:v>varchar(200)</x:v>
      </x:c>
      <x:c r="E54" s="99" t="str">
        <x:v>N</x:v>
      </x:c>
      <x:c r="F54" s="99" t="str">
        <x:v>N</x:v>
      </x:c>
      <x:c r="G54" s="98" t="str">
        <x:v>-</x:v>
      </x:c>
      <x:c r="H54" s="99" t="str">
        <x:v>N</x:v>
      </x:c>
      <x:c r="I54" s="99" t="str">
        <x:v>N</x:v>
      </x:c>
      <x:c r="J54" s="99" t="str">
        <x:v>-</x:v>
      </x:c>
      <x:c r="K54" s="98" t="str">
        <x:v>-</x:v>
      </x:c>
      <x:c r="L54" s="98" t="str">
        <x:v>-</x:v>
      </x:c>
      <x:c r="M54" s="98" t="str">
        <x:v>HOME/SAVE</x:v>
      </x:c>
      <x:c r="N54" s="98" t="str">
        <x:v>-</x:v>
      </x:c>
      <x:c r="O54" s="94" t="str">
        <x:v>N</x:v>
      </x:c>
      <x:c r="P54" s="94" t="str">
        <x:v>OK</x:v>
      </x:c>
      <x:c r="Q54" s="95"/>
      <x:c r="R54" s="87" t="str">
        <x:v>-</x:v>
      </x:c>
    </x:row>
    <x:row r="55" ht="42" customHeight="1">
      <x:c r="A55" s="91" t="str">
        <x:v>favorite_places</x:v>
      </x:c>
      <x:c r="B55" s="92" t="str">
        <x:v>custom_name</x:v>
      </x:c>
      <x:c r="C55" s="92" t="str">
        <x:v>사용자 별칭</x:v>
      </x:c>
      <x:c r="D55" s="92" t="str">
        <x:v>varchar(100)</x:v>
      </x:c>
      <x:c r="E55" s="93" t="str">
        <x:v>N</x:v>
      </x:c>
      <x:c r="F55" s="93" t="str">
        <x:v>N</x:v>
      </x:c>
      <x:c r="G55" s="92" t="str">
        <x:v>-</x:v>
      </x:c>
      <x:c r="H55" s="93" t="str">
        <x:v>Y</x:v>
      </x:c>
      <x:c r="I55" s="93" t="str">
        <x:v>N</x:v>
      </x:c>
      <x:c r="J55" s="93" t="str">
        <x:v>-</x:v>
      </x:c>
      <x:c r="K55" s="92" t="str">
        <x:v>-</x:v>
      </x:c>
      <x:c r="L55" s="92" t="str">
        <x:v>-</x:v>
      </x:c>
      <x:c r="M55" s="92" t="str">
        <x:v>SAVE</x:v>
      </x:c>
      <x:c r="N55" s="92" t="str">
        <x:v>-</x:v>
      </x:c>
      <x:c r="O55" s="94" t="str">
        <x:v>N</x:v>
      </x:c>
      <x:c r="P55" s="94" t="str">
        <x:v>OK</x:v>
      </x:c>
      <x:c r="Q55" s="95"/>
      <x:c r="R55" s="87" t="str">
        <x:v>-</x:v>
      </x:c>
    </x:row>
    <x:row r="56" ht="42" customHeight="1">
      <x:c r="A56" s="96" t="str">
        <x:v>favorite_places</x:v>
      </x:c>
      <x:c r="B56" s="96" t="str">
        <x:v>address</x:v>
      </x:c>
      <x:c r="C56" s="96" t="str">
        <x:v>도로명/표시 주소</x:v>
      </x:c>
      <x:c r="D56" s="96" t="str">
        <x:v>text</x:v>
      </x:c>
      <x:c r="E56" s="97" t="str">
        <x:v>N</x:v>
      </x:c>
      <x:c r="F56" s="97" t="str">
        <x:v>N</x:v>
      </x:c>
      <x:c r="G56" s="96" t="str">
        <x:v>-</x:v>
      </x:c>
      <x:c r="H56" s="97" t="str">
        <x:v>N</x:v>
      </x:c>
      <x:c r="I56" s="97" t="str">
        <x:v>N</x:v>
      </x:c>
      <x:c r="J56" s="97" t="str">
        <x:v>-</x:v>
      </x:c>
      <x:c r="K56" s="96" t="str">
        <x:v>-</x:v>
      </x:c>
      <x:c r="L56" s="96" t="str">
        <x:v>-</x:v>
      </x:c>
      <x:c r="M56" s="96" t="str">
        <x:v>HOME/SAVE</x:v>
      </x:c>
      <x:c r="N56" s="96" t="str">
        <x:v>-</x:v>
      </x:c>
      <x:c r="O56" s="94" t="str">
        <x:v>N</x:v>
      </x:c>
      <x:c r="P56" s="94" t="str">
        <x:v>OK</x:v>
      </x:c>
      <x:c r="Q56" s="95"/>
      <x:c r="R56" s="87" t="str">
        <x:v>-</x:v>
      </x:c>
    </x:row>
    <x:row r="57" ht="42" customHeight="1">
      <x:c r="A57" s="96" t="str">
        <x:v>favorite_places</x:v>
      </x:c>
      <x:c r="B57" s="96" t="str">
        <x:v>geom</x:v>
      </x:c>
      <x:c r="C57" s="96" t="str">
        <x:v>장소 좌표</x:v>
      </x:c>
      <x:c r="D57" s="96" t="str">
        <x:v>geometry(Point,4326)</x:v>
      </x:c>
      <x:c r="E57" s="97" t="str">
        <x:v>N</x:v>
      </x:c>
      <x:c r="F57" s="97" t="str">
        <x:v>N</x:v>
      </x:c>
      <x:c r="G57" s="96" t="str">
        <x:v>-</x:v>
      </x:c>
      <x:c r="H57" s="97" t="str">
        <x:v>N</x:v>
      </x:c>
      <x:c r="I57" s="97" t="str">
        <x:v>N</x:v>
      </x:c>
      <x:c r="J57" s="97" t="str">
        <x:v>-</x:v>
      </x:c>
      <x:c r="K57" s="96" t="str">
        <x:v>유효 좌표</x:v>
      </x:c>
      <x:c r="L57" s="96" t="str">
        <x:v>GIST</x:v>
      </x:c>
      <x:c r="M57" s="96" t="str">
        <x:v>HOME/SAVE</x:v>
      </x:c>
      <x:c r="N57" s="96" t="str">
        <x:v>-</x:v>
      </x:c>
      <x:c r="O57" s="94" t="str">
        <x:v>Y</x:v>
      </x:c>
      <x:c r="P57" s="94" t="str">
        <x:v>OK</x:v>
      </x:c>
      <x:c r="Q57" s="95" t="str">
        <x:v>PostGIS + GiST 확인</x:v>
      </x:c>
      <x:c r="R57" s="87" t="str">
        <x:v>-</x:v>
      </x:c>
    </x:row>
    <x:row r="58" ht="42" customHeight="1">
      <x:c r="A58" s="96" t="str">
        <x:v>favorite_places</x:v>
      </x:c>
      <x:c r="B58" s="96" t="str">
        <x:v>created_at</x:v>
      </x:c>
      <x:c r="C58" s="96" t="str">
        <x:v>등록일시</x:v>
      </x:c>
      <x:c r="D58" s="96" t="str">
        <x:v>timestamptz</x:v>
      </x:c>
      <x:c r="E58" s="97" t="str">
        <x:v>N</x:v>
      </x:c>
      <x:c r="F58" s="97" t="str">
        <x:v>N</x:v>
      </x:c>
      <x:c r="G58" s="96" t="str">
        <x:v>-</x:v>
      </x:c>
      <x:c r="H58" s="97" t="str">
        <x:v>N</x:v>
      </x:c>
      <x:c r="I58" s="97" t="str">
        <x:v>N</x:v>
      </x:c>
      <x:c r="J58" s="97" t="str">
        <x:v>now()</x:v>
      </x:c>
      <x:c r="K58" s="96" t="str">
        <x:v>-</x:v>
      </x:c>
      <x:c r="L58" s="96" t="str">
        <x:v>-</x:v>
      </x:c>
      <x:c r="M58" s="96" t="str">
        <x:v>SAVE</x:v>
      </x:c>
      <x:c r="N58" s="96" t="str">
        <x:v>-</x:v>
      </x:c>
      <x:c r="O58" s="94" t="str">
        <x:v>N</x:v>
      </x:c>
      <x:c r="P58" s="94" t="str">
        <x:v>OK</x:v>
      </x:c>
      <x:c r="Q58" s="95"/>
      <x:c r="R58" s="87" t="str">
        <x:v>-</x:v>
      </x:c>
    </x:row>
    <x:row r="59" ht="42" customHeight="1">
      <x:c r="A59" s="96" t="str">
        <x:v>favorite_places</x:v>
      </x:c>
      <x:c r="B59" s="96" t="str">
        <x:v>updated_at</x:v>
      </x:c>
      <x:c r="C59" s="96" t="str">
        <x:v>수정일시</x:v>
      </x:c>
      <x:c r="D59" s="96" t="str">
        <x:v>timestamptz</x:v>
      </x:c>
      <x:c r="E59" s="97" t="str">
        <x:v>N</x:v>
      </x:c>
      <x:c r="F59" s="97" t="str">
        <x:v>N</x:v>
      </x:c>
      <x:c r="G59" s="96" t="str">
        <x:v>-</x:v>
      </x:c>
      <x:c r="H59" s="97" t="str">
        <x:v>N</x:v>
      </x:c>
      <x:c r="I59" s="97" t="str">
        <x:v>N</x:v>
      </x:c>
      <x:c r="J59" s="97" t="str">
        <x:v>now()</x:v>
      </x:c>
      <x:c r="K59" s="96" t="str">
        <x:v>-</x:v>
      </x:c>
      <x:c r="L59" s="96" t="str">
        <x:v>-</x:v>
      </x:c>
      <x:c r="M59" s="96" t="str">
        <x:v>SAVE</x:v>
      </x:c>
      <x:c r="N59" s="96" t="str">
        <x:v>-</x:v>
      </x:c>
      <x:c r="O59" s="94" t="str">
        <x:v>N</x:v>
      </x:c>
      <x:c r="P59" s="94" t="str">
        <x:v>권장 확인</x:v>
      </x:c>
      <x:c r="Q59" s="95" t="str">
        <x:v>updated_at 자동 갱신은 trigger 또는 Backend 처리</x:v>
      </x:c>
      <x:c r="R59" s="87" t="str">
        <x:v>-</x:v>
      </x:c>
    </x:row>
    <x:row r="60" ht="42" customHeight="1">
      <x:c r="A60" s="96" t="str">
        <x:v>route_requests</x:v>
      </x:c>
      <x:c r="B60" s="96" t="str">
        <x:v>id</x:v>
      </x:c>
      <x:c r="C60" s="96" t="str">
        <x:v>경로요청 PK</x:v>
      </x:c>
      <x:c r="D60" s="96" t="str">
        <x:v>uuid</x:v>
      </x:c>
      <x:c r="E60" s="97" t="str">
        <x:v>Y</x:v>
      </x:c>
      <x:c r="F60" s="97" t="str">
        <x:v>N</x:v>
      </x:c>
      <x:c r="G60" s="96" t="str">
        <x:v>-</x:v>
      </x:c>
      <x:c r="H60" s="97" t="str">
        <x:v>N</x:v>
      </x:c>
      <x:c r="I60" s="97" t="str">
        <x:v>N</x:v>
      </x:c>
      <x:c r="J60" s="97" t="str">
        <x:v>gen_random_uuid()</x:v>
      </x:c>
      <x:c r="K60" s="96" t="str">
        <x:v>-</x:v>
      </x:c>
      <x:c r="L60" s="96" t="str">
        <x:v>PK</x:v>
      </x:c>
      <x:c r="M60" s="96" t="str">
        <x:v>ROUTE/A-DASH/A-DATA</x:v>
      </x:c>
      <x:c r="N60" s="96" t="str">
        <x:v>-</x:v>
      </x:c>
      <x:c r="O60" s="94" t="str">
        <x:v>N</x:v>
      </x:c>
      <x:c r="P60" s="94" t="str">
        <x:v>수정 반영</x:v>
      </x:c>
      <x:c r="Q60" s="95" t="str">
        <x:v>PK 자체가 NOT NULL + UNIQUE를 보장하므로 별도 UNIQUE 플래그 제거</x:v>
      </x:c>
      <x:c r="R60" s="87" t="str">
        <x:v>-</x:v>
      </x:c>
    </x:row>
    <x:row r="61" ht="42" customHeight="1">
      <x:c r="A61" s="96" t="str">
        <x:v>route_requests</x:v>
      </x:c>
      <x:c r="B61" s="96" t="str">
        <x:v>user_id</x:v>
      </x:c>
      <x:c r="C61" s="96" t="str">
        <x:v>요청 회원 FK</x:v>
      </x:c>
      <x:c r="D61" s="96" t="str">
        <x:v>uuid</x:v>
      </x:c>
      <x:c r="E61" s="97" t="str">
        <x:v>N</x:v>
      </x:c>
      <x:c r="F61" s="97" t="str">
        <x:v>Y</x:v>
      </x:c>
      <x:c r="G61" s="96" t="str">
        <x:v>users.id</x:v>
      </x:c>
      <x:c r="H61" s="97" t="str">
        <x:v>N</x:v>
      </x:c>
      <x:c r="I61" s="97" t="str">
        <x:v>N</x:v>
      </x:c>
      <x:c r="J61" s="97" t="str">
        <x:v>-</x:v>
      </x:c>
      <x:c r="K61" s="96" t="str">
        <x:v>-</x:v>
      </x:c>
      <x:c r="L61" s="96" t="str">
        <x:v>INDEX</x:v>
      </x:c>
      <x:c r="M61" s="96" t="str">
        <x:v>ROUTE/A-ROUTE</x:v>
      </x:c>
      <x:c r="N61" s="96" t="str">
        <x:v>로그인 사용자 요청; 탈퇴 30일 후 사용자와 함께 삭제</x:v>
      </x:c>
      <x:c r="O61" s="94" t="str">
        <x:v>N</x:v>
      </x:c>
      <x:c r="P61" s="94" t="str">
        <x:v>확정</x:v>
      </x:c>
      <x:c r="Q61" s="95" t="str">
        <x:v>통계 보존용 SET NULL 정책 제거; 30일 후 CASCADE 삭제</x:v>
      </x:c>
      <x:c r="R61" s="87" t="str">
        <x:v>CASCADE</x:v>
      </x:c>
    </x:row>
    <x:row r="62" ht="42" customHeight="1">
      <x:c r="A62" s="96" t="str">
        <x:v>route_requests</x:v>
      </x:c>
      <x:c r="B62" s="96" t="str">
        <x:v>origin_name</x:v>
      </x:c>
      <x:c r="C62" s="96" t="str">
        <x:v>출발지 표시명</x:v>
      </x:c>
      <x:c r="D62" s="96" t="str">
        <x:v>varchar(200)</x:v>
      </x:c>
      <x:c r="E62" s="97" t="str">
        <x:v>N</x:v>
      </x:c>
      <x:c r="F62" s="97" t="str">
        <x:v>N</x:v>
      </x:c>
      <x:c r="G62" s="96" t="str">
        <x:v>-</x:v>
      </x:c>
      <x:c r="H62" s="97" t="str">
        <x:v>N</x:v>
      </x:c>
      <x:c r="I62" s="97" t="str">
        <x:v>N</x:v>
      </x:c>
      <x:c r="J62" s="97" t="str">
        <x:v>-</x:v>
      </x:c>
      <x:c r="K62" s="96" t="str">
        <x:v>-</x:v>
      </x:c>
      <x:c r="L62" s="96" t="str">
        <x:v>-</x:v>
      </x:c>
      <x:c r="M62" s="96" t="str">
        <x:v>ROUTE/A-ROUTE</x:v>
      </x:c>
      <x:c r="N62" s="96" t="str">
        <x:v>-</x:v>
      </x:c>
      <x:c r="O62" s="94" t="str">
        <x:v>N</x:v>
      </x:c>
      <x:c r="P62" s="94" t="str">
        <x:v>OK</x:v>
      </x:c>
      <x:c r="Q62" s="95"/>
      <x:c r="R62" s="87" t="str">
        <x:v>-</x:v>
      </x:c>
    </x:row>
    <x:row r="63" ht="42" customHeight="1">
      <x:c r="A63" s="91" t="str">
        <x:v>route_requests</x:v>
      </x:c>
      <x:c r="B63" s="92" t="str">
        <x:v>origin_address</x:v>
      </x:c>
      <x:c r="C63" s="92" t="str">
        <x:v>출발지 주소</x:v>
      </x:c>
      <x:c r="D63" s="92" t="str">
        <x:v>text</x:v>
      </x:c>
      <x:c r="E63" s="93" t="str">
        <x:v>N</x:v>
      </x:c>
      <x:c r="F63" s="93" t="str">
        <x:v>N</x:v>
      </x:c>
      <x:c r="G63" s="92" t="str">
        <x:v>-</x:v>
      </x:c>
      <x:c r="H63" s="93" t="str">
        <x:v>Y</x:v>
      </x:c>
      <x:c r="I63" s="93" t="str">
        <x:v>N</x:v>
      </x:c>
      <x:c r="J63" s="93" t="str">
        <x:v>-</x:v>
      </x:c>
      <x:c r="K63" s="92" t="str">
        <x:v>-</x:v>
      </x:c>
      <x:c r="L63" s="92" t="str">
        <x:v>-</x:v>
      </x:c>
      <x:c r="M63" s="92" t="str">
        <x:v>ROUTE/A-ROUTE</x:v>
      </x:c>
      <x:c r="N63" s="92" t="str">
        <x:v>-</x:v>
      </x:c>
      <x:c r="O63" s="94" t="str">
        <x:v>N</x:v>
      </x:c>
      <x:c r="P63" s="94" t="str">
        <x:v>OK</x:v>
      </x:c>
      <x:c r="Q63" s="95"/>
      <x:c r="R63" s="87" t="str">
        <x:v>-</x:v>
      </x:c>
    </x:row>
    <x:row r="64" ht="42" customHeight="1">
      <x:c r="A64" s="96" t="str">
        <x:v>route_requests</x:v>
      </x:c>
      <x:c r="B64" s="96" t="str">
        <x:v>origin_geom</x:v>
      </x:c>
      <x:c r="C64" s="96" t="str">
        <x:v>출발지 좌표</x:v>
      </x:c>
      <x:c r="D64" s="96" t="str">
        <x:v>geometry(Point,4326)</x:v>
      </x:c>
      <x:c r="E64" s="97" t="str">
        <x:v>N</x:v>
      </x:c>
      <x:c r="F64" s="97" t="str">
        <x:v>N</x:v>
      </x:c>
      <x:c r="G64" s="96" t="str">
        <x:v>-</x:v>
      </x:c>
      <x:c r="H64" s="97" t="str">
        <x:v>N</x:v>
      </x:c>
      <x:c r="I64" s="97" t="str">
        <x:v>N</x:v>
      </x:c>
      <x:c r="J64" s="97" t="str">
        <x:v>-</x:v>
      </x:c>
      <x:c r="K64" s="96" t="str">
        <x:v>유효 좌표</x:v>
      </x:c>
      <x:c r="L64" s="96" t="str">
        <x:v>GIST</x:v>
      </x:c>
      <x:c r="M64" s="96" t="str">
        <x:v>ROUTE/A-ROUTE</x:v>
      </x:c>
      <x:c r="N64" s="96" t="str">
        <x:v>-</x:v>
      </x:c>
      <x:c r="O64" s="94" t="str">
        <x:v>Y</x:v>
      </x:c>
      <x:c r="P64" s="94" t="str">
        <x:v>OK</x:v>
      </x:c>
      <x:c r="Q64" s="95" t="str">
        <x:v>PostGIS + GiST 확인</x:v>
      </x:c>
      <x:c r="R64" s="87" t="str">
        <x:v>-</x:v>
      </x:c>
    </x:row>
    <x:row r="65" ht="42" customHeight="1">
      <x:c r="A65" s="96" t="str">
        <x:v>route_requests</x:v>
      </x:c>
      <x:c r="B65" s="96" t="str">
        <x:v>destination_name</x:v>
      </x:c>
      <x:c r="C65" s="96" t="str">
        <x:v>목적지 표시명</x:v>
      </x:c>
      <x:c r="D65" s="96" t="str">
        <x:v>varchar(200)</x:v>
      </x:c>
      <x:c r="E65" s="97" t="str">
        <x:v>N</x:v>
      </x:c>
      <x:c r="F65" s="97" t="str">
        <x:v>N</x:v>
      </x:c>
      <x:c r="G65" s="96" t="str">
        <x:v>-</x:v>
      </x:c>
      <x:c r="H65" s="97" t="str">
        <x:v>N</x:v>
      </x:c>
      <x:c r="I65" s="97" t="str">
        <x:v>N</x:v>
      </x:c>
      <x:c r="J65" s="97" t="str">
        <x:v>-</x:v>
      </x:c>
      <x:c r="K65" s="96" t="str">
        <x:v>-</x:v>
      </x:c>
      <x:c r="L65" s="96" t="str">
        <x:v>-</x:v>
      </x:c>
      <x:c r="M65" s="96" t="str">
        <x:v>ROUTE/A-ROUTE</x:v>
      </x:c>
      <x:c r="N65" s="96" t="str">
        <x:v>-</x:v>
      </x:c>
      <x:c r="O65" s="94" t="str">
        <x:v>N</x:v>
      </x:c>
      <x:c r="P65" s="94" t="str">
        <x:v>OK</x:v>
      </x:c>
      <x:c r="Q65" s="95"/>
      <x:c r="R65" s="87" t="str">
        <x:v>-</x:v>
      </x:c>
    </x:row>
    <x:row r="66" ht="42" customHeight="1">
      <x:c r="A66" s="96" t="str">
        <x:v>route_requests</x:v>
      </x:c>
      <x:c r="B66" s="96" t="str">
        <x:v>destination_address</x:v>
      </x:c>
      <x:c r="C66" s="96" t="str">
        <x:v>목적지 주소</x:v>
      </x:c>
      <x:c r="D66" s="96" t="str">
        <x:v>text</x:v>
      </x:c>
      <x:c r="E66" s="97" t="str">
        <x:v>N</x:v>
      </x:c>
      <x:c r="F66" s="97" t="str">
        <x:v>N</x:v>
      </x:c>
      <x:c r="G66" s="96" t="str">
        <x:v>-</x:v>
      </x:c>
      <x:c r="H66" s="97" t="str">
        <x:v>Y</x:v>
      </x:c>
      <x:c r="I66" s="97" t="str">
        <x:v>N</x:v>
      </x:c>
      <x:c r="J66" s="97" t="str">
        <x:v>-</x:v>
      </x:c>
      <x:c r="K66" s="96" t="str">
        <x:v>-</x:v>
      </x:c>
      <x:c r="L66" s="96" t="str">
        <x:v>-</x:v>
      </x:c>
      <x:c r="M66" s="96" t="str">
        <x:v>ROUTE/A-ROUTE</x:v>
      </x:c>
      <x:c r="N66" s="96" t="str">
        <x:v>-</x:v>
      </x:c>
      <x:c r="O66" s="94" t="str">
        <x:v>N</x:v>
      </x:c>
      <x:c r="P66" s="94" t="str">
        <x:v>OK</x:v>
      </x:c>
      <x:c r="Q66" s="95"/>
      <x:c r="R66" s="87" t="str">
        <x:v>-</x:v>
      </x:c>
    </x:row>
    <x:row r="67" ht="42" customHeight="1">
      <x:c r="A67" s="96" t="str">
        <x:v>route_requests</x:v>
      </x:c>
      <x:c r="B67" s="96" t="str">
        <x:v>destination_geom</x:v>
      </x:c>
      <x:c r="C67" s="96" t="str">
        <x:v>목적지 좌표</x:v>
      </x:c>
      <x:c r="D67" s="96" t="str">
        <x:v>geometry(Point,4326)</x:v>
      </x:c>
      <x:c r="E67" s="97" t="str">
        <x:v>N</x:v>
      </x:c>
      <x:c r="F67" s="97" t="str">
        <x:v>N</x:v>
      </x:c>
      <x:c r="G67" s="96" t="str">
        <x:v>-</x:v>
      </x:c>
      <x:c r="H67" s="97" t="str">
        <x:v>N</x:v>
      </x:c>
      <x:c r="I67" s="97" t="str">
        <x:v>N</x:v>
      </x:c>
      <x:c r="J67" s="97" t="str">
        <x:v>-</x:v>
      </x:c>
      <x:c r="K67" s="96" t="str">
        <x:v>유효 좌표</x:v>
      </x:c>
      <x:c r="L67" s="96" t="str">
        <x:v>GIST</x:v>
      </x:c>
      <x:c r="M67" s="96" t="str">
        <x:v>ROUTE/A-ROUTE</x:v>
      </x:c>
      <x:c r="N67" s="96" t="str">
        <x:v>-</x:v>
      </x:c>
      <x:c r="O67" s="94" t="str">
        <x:v>Y</x:v>
      </x:c>
      <x:c r="P67" s="94" t="str">
        <x:v>OK</x:v>
      </x:c>
      <x:c r="Q67" s="95" t="str">
        <x:v>PostGIS + GiST 확인</x:v>
      </x:c>
      <x:c r="R67" s="87" t="str">
        <x:v>-</x:v>
      </x:c>
    </x:row>
    <x:row r="68" ht="42" customHeight="1">
      <x:c r="A68" s="96" t="str">
        <x:v>route_requests</x:v>
      </x:c>
      <x:c r="B68" s="96" t="str">
        <x:v>max_detour_minutes</x:v>
      </x:c>
      <x:c r="C68" s="96" t="str">
        <x:v>최대 우회시간</x:v>
      </x:c>
      <x:c r="D68" s="96" t="str">
        <x:v>smallint</x:v>
      </x:c>
      <x:c r="E68" s="97" t="str">
        <x:v>N</x:v>
      </x:c>
      <x:c r="F68" s="97" t="str">
        <x:v>N</x:v>
      </x:c>
      <x:c r="G68" s="96" t="str">
        <x:v>-</x:v>
      </x:c>
      <x:c r="H68" s="97" t="str">
        <x:v>N</x:v>
      </x:c>
      <x:c r="I68" s="97" t="str">
        <x:v>N</x:v>
      </x:c>
      <x:c r="J68" s="97" t="n">
        <x:v>10</x:v>
      </x:c>
      <x:c r="K68" s="96" t="str">
        <x:v>IN (10,20,30,60)</x:v>
      </x:c>
      <x:c r="L68" s="96" t="str">
        <x:v>INDEX</x:v>
      </x:c>
      <x:c r="M68" s="96" t="str">
        <x:v>ROUTE/A-ROUTE</x:v>
      </x:c>
      <x:c r="N68" s="96" t="str">
        <x:v>-</x:v>
      </x:c>
      <x:c r="O68" s="94" t="str">
        <x:v>N</x:v>
      </x:c>
      <x:c r="P68" s="94" t="str">
        <x:v>OK</x:v>
      </x:c>
      <x:c r="Q68" s="95"/>
      <x:c r="R68" s="87" t="str">
        <x:v>-</x:v>
      </x:c>
    </x:row>
    <x:row r="69" ht="42" customHeight="1">
      <x:c r="A69" s="96" t="str">
        <x:v>route_requests</x:v>
      </x:c>
      <x:c r="B69" s="96" t="str">
        <x:v>status</x:v>
      </x:c>
      <x:c r="C69" s="96" t="str">
        <x:v>처리 상태</x:v>
      </x:c>
      <x:c r="D69" s="96" t="str">
        <x:v>varchar(20)</x:v>
      </x:c>
      <x:c r="E69" s="97" t="str">
        <x:v>N</x:v>
      </x:c>
      <x:c r="F69" s="97" t="str">
        <x:v>N</x:v>
      </x:c>
      <x:c r="G69" s="96" t="str">
        <x:v>-</x:v>
      </x:c>
      <x:c r="H69" s="97" t="str">
        <x:v>N</x:v>
      </x:c>
      <x:c r="I69" s="97" t="str">
        <x:v>N</x:v>
      </x:c>
      <x:c r="J69" s="97" t="str">
        <x:v>'queued'</x:v>
      </x:c>
      <x:c r="K69" s="96" t="str">
        <x:v>IN ('queued','processing','success','failed')</x:v>
      </x:c>
      <x:c r="L69" s="96" t="str">
        <x:v>INDEX</x:v>
      </x:c>
      <x:c r="M69" s="96" t="str">
        <x:v>ROUTE/A-DASH/A-DATA</x:v>
      </x:c>
      <x:c r="N69" s="96" t="str">
        <x:v>-</x:v>
      </x:c>
      <x:c r="O69" s="94" t="str">
        <x:v>N</x:v>
      </x:c>
      <x:c r="P69" s="94" t="str">
        <x:v>수정 반영</x:v>
      </x:c>
      <x:c r="Q69" s="95" t="str">
        <x:v>경로상태 CHECK를 코드값과 일치시킴</x:v>
      </x:c>
      <x:c r="R69" s="87" t="str">
        <x:v>-</x:v>
      </x:c>
    </x:row>
    <x:row r="70" ht="42" customHeight="1">
      <x:c r="A70" s="96" t="str">
        <x:v>route_requests</x:v>
      </x:c>
      <x:c r="B70" s="96" t="str">
        <x:v>failure_code</x:v>
      </x:c>
      <x:c r="C70" s="96" t="str">
        <x:v>실패 코드</x:v>
      </x:c>
      <x:c r="D70" s="96" t="str">
        <x:v>varchar(50)</x:v>
      </x:c>
      <x:c r="E70" s="97" t="str">
        <x:v>N</x:v>
      </x:c>
      <x:c r="F70" s="97" t="str">
        <x:v>N</x:v>
      </x:c>
      <x:c r="G70" s="96" t="str">
        <x:v>-</x:v>
      </x:c>
      <x:c r="H70" s="97" t="str">
        <x:v>Y</x:v>
      </x:c>
      <x:c r="I70" s="97" t="str">
        <x:v>N</x:v>
      </x:c>
      <x:c r="J70" s="97" t="str">
        <x:v>-</x:v>
      </x:c>
      <x:c r="K70" s="96" t="str">
        <x:v>NULL 또는 코드값 시트 실패코드</x:v>
      </x:c>
      <x:c r="L70" s="96" t="str">
        <x:v>INDEX</x:v>
      </x:c>
      <x:c r="M70" s="96" t="str">
        <x:v>ROUTE/A-ROUTE</x:v>
      </x:c>
      <x:c r="N70" s="96" t="str">
        <x:v>코드값 시트</x:v>
      </x:c>
      <x:c r="O70" s="94" t="str">
        <x:v>N</x:v>
      </x:c>
      <x:c r="P70" s="94" t="str">
        <x:v>수정 반영</x:v>
      </x:c>
      <x:c r="Q70" s="95" t="str">
        <x:v>failed 상태와 failure_code 연계 CHECK는 schema.sql에서 추가 권장</x:v>
      </x:c>
      <x:c r="R70" s="87" t="str">
        <x:v>-</x:v>
      </x:c>
    </x:row>
    <x:row r="71" ht="42" customHeight="1">
      <x:c r="A71" s="96" t="str">
        <x:v>route_requests</x:v>
      </x:c>
      <x:c r="B71" s="96" t="str">
        <x:v>failure_message</x:v>
      </x:c>
      <x:c r="C71" s="96" t="str">
        <x:v>운영용 실패 설명</x:v>
      </x:c>
      <x:c r="D71" s="96" t="str">
        <x:v>text</x:v>
      </x:c>
      <x:c r="E71" s="97" t="str">
        <x:v>N</x:v>
      </x:c>
      <x:c r="F71" s="97" t="str">
        <x:v>N</x:v>
      </x:c>
      <x:c r="G71" s="96" t="str">
        <x:v>-</x:v>
      </x:c>
      <x:c r="H71" s="97" t="str">
        <x:v>Y</x:v>
      </x:c>
      <x:c r="I71" s="97" t="str">
        <x:v>N</x:v>
      </x:c>
      <x:c r="J71" s="97" t="str">
        <x:v>-</x:v>
      </x:c>
      <x:c r="K71" s="96" t="str">
        <x:v>민감정보 금지</x:v>
      </x:c>
      <x:c r="L71" s="96" t="str">
        <x:v>-</x:v>
      </x:c>
      <x:c r="M71" s="96" t="str">
        <x:v>A-ROUTE</x:v>
      </x:c>
      <x:c r="N71" s="96" t="str">
        <x:v>-</x:v>
      </x:c>
      <x:c r="O71" s="94" t="str">
        <x:v>N</x:v>
      </x:c>
      <x:c r="P71" s="94" t="str">
        <x:v>OK</x:v>
      </x:c>
      <x:c r="Q71" s="95"/>
      <x:c r="R71" s="87" t="str">
        <x:v>-</x:v>
      </x:c>
    </x:row>
    <x:row r="72" ht="42" customHeight="1">
      <x:c r="A72" s="91" t="str">
        <x:v>route_requests</x:v>
      </x:c>
      <x:c r="B72" s="92" t="str">
        <x:v>input_fingerprint</x:v>
      </x:c>
      <x:c r="C72" s="92" t="str">
        <x:v>동일입력 hash</x:v>
      </x:c>
      <x:c r="D72" s="92" t="str">
        <x:v>char(64)</x:v>
      </x:c>
      <x:c r="E72" s="93" t="str">
        <x:v>N</x:v>
      </x:c>
      <x:c r="F72" s="93" t="str">
        <x:v>N</x:v>
      </x:c>
      <x:c r="G72" s="92" t="str">
        <x:v>-</x:v>
      </x:c>
      <x:c r="H72" s="93" t="str">
        <x:v>N</x:v>
      </x:c>
      <x:c r="I72" s="93" t="str">
        <x:v>N</x:v>
      </x:c>
      <x:c r="J72" s="93" t="str">
        <x:v>-</x:v>
      </x:c>
      <x:c r="K72" s="92" t="str">
        <x:v>정규화 규칙 고정</x:v>
      </x:c>
      <x:c r="L72" s="92" t="str">
        <x:v>INDEX</x:v>
      </x:c>
      <x:c r="M72" s="92" t="str">
        <x:v>A-ROUTE-004</x:v>
      </x:c>
      <x:c r="N72" s="92" t="str">
        <x:v>횟수는 COUNT</x:v>
      </x:c>
      <x:c r="O72" s="94" t="str">
        <x:v>N</x:v>
      </x:c>
      <x:c r="P72" s="94" t="str">
        <x:v>OK</x:v>
      </x:c>
      <x:c r="Q72" s="95"/>
      <x:c r="R72" s="87" t="str">
        <x:v>-</x:v>
      </x:c>
    </x:row>
    <x:row r="73" ht="42" customHeight="1">
      <x:c r="A73" s="96" t="str">
        <x:v>route_requests</x:v>
      </x:c>
      <x:c r="B73" s="96" t="str">
        <x:v>started_at</x:v>
      </x:c>
      <x:c r="C73" s="96" t="str">
        <x:v>계산 시작</x:v>
      </x:c>
      <x:c r="D73" s="96" t="str">
        <x:v>timestamptz</x:v>
      </x:c>
      <x:c r="E73" s="97" t="str">
        <x:v>N</x:v>
      </x:c>
      <x:c r="F73" s="97" t="str">
        <x:v>N</x:v>
      </x:c>
      <x:c r="G73" s="96" t="str">
        <x:v>-</x:v>
      </x:c>
      <x:c r="H73" s="97" t="str">
        <x:v>Y</x:v>
      </x:c>
      <x:c r="I73" s="97" t="str">
        <x:v>N</x:v>
      </x:c>
      <x:c r="J73" s="97" t="str">
        <x:v>-</x:v>
      </x:c>
      <x:c r="K73" s="96" t="str">
        <x:v>-</x:v>
      </x:c>
      <x:c r="L73" s="96" t="str">
        <x:v>INDEX</x:v>
      </x:c>
      <x:c r="M73" s="96" t="str">
        <x:v>ROUTE-003</x:v>
      </x:c>
      <x:c r="N73" s="96" t="str">
        <x:v>-</x:v>
      </x:c>
      <x:c r="O73" s="94" t="str">
        <x:v>N</x:v>
      </x:c>
      <x:c r="P73" s="94" t="str">
        <x:v>OK</x:v>
      </x:c>
      <x:c r="Q73" s="95"/>
      <x:c r="R73" s="87" t="str">
        <x:v>-</x:v>
      </x:c>
    </x:row>
    <x:row r="74" ht="42" customHeight="1">
      <x:c r="A74" s="96" t="str">
        <x:v>route_requests</x:v>
      </x:c>
      <x:c r="B74" s="96" t="str">
        <x:v>completed_at</x:v>
      </x:c>
      <x:c r="C74" s="96" t="str">
        <x:v>성공/실패 완료</x:v>
      </x:c>
      <x:c r="D74" s="96" t="str">
        <x:v>timestamptz</x:v>
      </x:c>
      <x:c r="E74" s="97" t="str">
        <x:v>N</x:v>
      </x:c>
      <x:c r="F74" s="97" t="str">
        <x:v>N</x:v>
      </x:c>
      <x:c r="G74" s="96" t="str">
        <x:v>-</x:v>
      </x:c>
      <x:c r="H74" s="97" t="str">
        <x:v>Y</x:v>
      </x:c>
      <x:c r="I74" s="97" t="str">
        <x:v>N</x:v>
      </x:c>
      <x:c r="J74" s="97" t="str">
        <x:v>-</x:v>
      </x:c>
      <x:c r="K74" s="96" t="str">
        <x:v>-</x:v>
      </x:c>
      <x:c r="L74" s="96" t="str">
        <x:v>INDEX</x:v>
      </x:c>
      <x:c r="M74" s="96" t="str">
        <x:v>ROUTE-003/A-DASH</x:v>
      </x:c>
      <x:c r="N74" s="96" t="str">
        <x:v>-</x:v>
      </x:c>
      <x:c r="O74" s="94" t="str">
        <x:v>N</x:v>
      </x:c>
      <x:c r="P74" s="94" t="str">
        <x:v>OK</x:v>
      </x:c>
      <x:c r="Q74" s="95"/>
      <x:c r="R74" s="87" t="str">
        <x:v>-</x:v>
      </x:c>
    </x:row>
    <x:row r="75" ht="42" customHeight="1">
      <x:c r="A75" s="96" t="str">
        <x:v>route_requests</x:v>
      </x:c>
      <x:c r="B75" s="96" t="str">
        <x:v>duration_ms</x:v>
      </x:c>
      <x:c r="C75" s="96" t="str">
        <x:v>처리시간</x:v>
      </x:c>
      <x:c r="D75" s="96" t="str">
        <x:v>integer</x:v>
      </x:c>
      <x:c r="E75" s="97" t="str">
        <x:v>N</x:v>
      </x:c>
      <x:c r="F75" s="97" t="str">
        <x:v>N</x:v>
      </x:c>
      <x:c r="G75" s="96" t="str">
        <x:v>-</x:v>
      </x:c>
      <x:c r="H75" s="97" t="str">
        <x:v>Y</x:v>
      </x:c>
      <x:c r="I75" s="97" t="str">
        <x:v>N</x:v>
      </x:c>
      <x:c r="J75" s="97" t="str">
        <x:v>-</x:v>
      </x:c>
      <x:c r="K75" s="96" t="str">
        <x:v>0 이상</x:v>
      </x:c>
      <x:c r="L75" s="96" t="str">
        <x:v>-</x:v>
      </x:c>
      <x:c r="M75" s="96" t="str">
        <x:v>ROUTE-003</x:v>
      </x:c>
      <x:c r="N75" s="96" t="str">
        <x:v>-</x:v>
      </x:c>
      <x:c r="O75" s="94" t="str">
        <x:v>N</x:v>
      </x:c>
      <x:c r="P75" s="94" t="str">
        <x:v>OK</x:v>
      </x:c>
      <x:c r="Q75" s="95"/>
      <x:c r="R75" s="87" t="str">
        <x:v>-</x:v>
      </x:c>
    </x:row>
    <x:row r="76" ht="42" customHeight="1">
      <x:c r="A76" s="96" t="str">
        <x:v>route_requests</x:v>
      </x:c>
      <x:c r="B76" s="96" t="str">
        <x:v>created_at</x:v>
      </x:c>
      <x:c r="C76" s="96" t="str">
        <x:v>요청일시</x:v>
      </x:c>
      <x:c r="D76" s="96" t="str">
        <x:v>timestamptz</x:v>
      </x:c>
      <x:c r="E76" s="97" t="str">
        <x:v>N</x:v>
      </x:c>
      <x:c r="F76" s="97" t="str">
        <x:v>N</x:v>
      </x:c>
      <x:c r="G76" s="96" t="str">
        <x:v>-</x:v>
      </x:c>
      <x:c r="H76" s="97" t="str">
        <x:v>N</x:v>
      </x:c>
      <x:c r="I76" s="97" t="str">
        <x:v>N</x:v>
      </x:c>
      <x:c r="J76" s="97" t="str">
        <x:v>now()</x:v>
      </x:c>
      <x:c r="K76" s="96" t="str">
        <x:v>-</x:v>
      </x:c>
      <x:c r="L76" s="96" t="str">
        <x:v>INDEX</x:v>
      </x:c>
      <x:c r="M76" s="96" t="str">
        <x:v>A-DASH/A-ROUTE</x:v>
      </x:c>
      <x:c r="N76" s="96" t="str">
        <x:v>-</x:v>
      </x:c>
      <x:c r="O76" s="94" t="str">
        <x:v>N</x:v>
      </x:c>
      <x:c r="P76" s="94" t="str">
        <x:v>OK</x:v>
      </x:c>
      <x:c r="Q76" s="95"/>
      <x:c r="R76" s="87" t="str">
        <x:v>-</x:v>
      </x:c>
    </x:row>
    <x:row r="77" ht="42" customHeight="1">
      <x:c r="A77" s="96" t="str">
        <x:v>route_candidates</x:v>
      </x:c>
      <x:c r="B77" s="96" t="str">
        <x:v>id</x:v>
      </x:c>
      <x:c r="C77" s="96" t="str">
        <x:v>경로후보 PK</x:v>
      </x:c>
      <x:c r="D77" s="96" t="str">
        <x:v>uuid</x:v>
      </x:c>
      <x:c r="E77" s="97" t="str">
        <x:v>Y</x:v>
      </x:c>
      <x:c r="F77" s="97" t="str">
        <x:v>N</x:v>
      </x:c>
      <x:c r="G77" s="96" t="str">
        <x:v>-</x:v>
      </x:c>
      <x:c r="H77" s="97" t="str">
        <x:v>N</x:v>
      </x:c>
      <x:c r="I77" s="97" t="str">
        <x:v>N</x:v>
      </x:c>
      <x:c r="J77" s="97" t="str">
        <x:v>gen_random_uuid()</x:v>
      </x:c>
      <x:c r="K77" s="96" t="str">
        <x:v>-</x:v>
      </x:c>
      <x:c r="L77" s="96" t="str">
        <x:v>PK</x:v>
      </x:c>
      <x:c r="M77" s="96" t="str">
        <x:v>ROUTE/A-ROUTE</x:v>
      </x:c>
      <x:c r="N77" s="96" t="str">
        <x:v>-</x:v>
      </x:c>
      <x:c r="O77" s="94" t="str">
        <x:v>N</x:v>
      </x:c>
      <x:c r="P77" s="94" t="str">
        <x:v>수정 반영</x:v>
      </x:c>
      <x:c r="Q77" s="95" t="str">
        <x:v>PK 자체가 NOT NULL + UNIQUE를 보장하므로 별도 UNIQUE 플래그 제거</x:v>
      </x:c>
      <x:c r="R77" s="87" t="str">
        <x:v>-</x:v>
      </x:c>
    </x:row>
    <x:row r="78" ht="42" customHeight="1">
      <x:c r="A78" s="96" t="str">
        <x:v>route_candidates</x:v>
      </x:c>
      <x:c r="B78" s="96" t="str">
        <x:v>route_request_id</x:v>
      </x:c>
      <x:c r="C78" s="96" t="str">
        <x:v>경로요청 FK</x:v>
      </x:c>
      <x:c r="D78" s="96" t="str">
        <x:v>uuid</x:v>
      </x:c>
      <x:c r="E78" s="97" t="str">
        <x:v>N</x:v>
      </x:c>
      <x:c r="F78" s="97" t="str">
        <x:v>Y</x:v>
      </x:c>
      <x:c r="G78" s="96" t="str">
        <x:v>route_requests.id</x:v>
      </x:c>
      <x:c r="H78" s="97" t="str">
        <x:v>N</x:v>
      </x:c>
      <x:c r="I78" s="97" t="str">
        <x:v>N</x:v>
      </x:c>
      <x:c r="J78" s="97" t="str">
        <x:v>-</x:v>
      </x:c>
      <x:c r="K78" s="96" t="str">
        <x:v>-</x:v>
      </x:c>
      <x:c r="L78" s="96" t="str">
        <x:v>UNIQUE(route_request_id,route_type)</x:v>
      </x:c>
      <x:c r="M78" s="96" t="str">
        <x:v>ROUTE/A-ROUTE</x:v>
      </x:c>
      <x:c r="N78" s="96" t="str">
        <x:v>요청+유형 UNIQUE</x:v>
      </x:c>
      <x:c r="O78" s="94" t="str">
        <x:v>N</x:v>
      </x:c>
      <x:c r="P78" s="94" t="str">
        <x:v>수정 반영</x:v>
      </x:c>
      <x:c r="Q78" s="95" t="str">
        <x:v>요청당 route_type 1개</x:v>
      </x:c>
      <x:c r="R78" s="87" t="str">
        <x:v>CASCADE</x:v>
      </x:c>
    </x:row>
    <x:row r="79" ht="42" customHeight="1">
      <x:c r="A79" s="96" t="str">
        <x:v>route_candidates</x:v>
      </x:c>
      <x:c r="B79" s="96" t="str">
        <x:v>route_type</x:v>
      </x:c>
      <x:c r="C79" s="96" t="str">
        <x:v>후보 유형</x:v>
      </x:c>
      <x:c r="D79" s="96" t="str">
        <x:v>varchar(20)</x:v>
      </x:c>
      <x:c r="E79" s="97" t="str">
        <x:v>N</x:v>
      </x:c>
      <x:c r="F79" s="97" t="str">
        <x:v>N</x:v>
      </x:c>
      <x:c r="G79" s="96" t="str">
        <x:v>-</x:v>
      </x:c>
      <x:c r="H79" s="97" t="str">
        <x:v>N</x:v>
      </x:c>
      <x:c r="I79" s="97" t="str">
        <x:v>N</x:v>
      </x:c>
      <x:c r="J79" s="97" t="str">
        <x:v>-</x:v>
      </x:c>
      <x:c r="K79" s="96" t="str">
        <x:v>safe/fastest/shortest</x:v>
      </x:c>
      <x:c r="L79" s="96" t="str">
        <x:v>INDEX</x:v>
      </x:c>
      <x:c r="M79" s="96" t="str">
        <x:v>ROUTE-004</x:v>
      </x:c>
      <x:c r="N79" s="96" t="str">
        <x:v>-</x:v>
      </x:c>
      <x:c r="O79" s="94" t="str">
        <x:v>N</x:v>
      </x:c>
      <x:c r="P79" s="94" t="str">
        <x:v>OK</x:v>
      </x:c>
      <x:c r="Q79" s="95"/>
      <x:c r="R79" s="87" t="str">
        <x:v>-</x:v>
      </x:c>
    </x:row>
    <x:row r="80" ht="42" customHeight="1">
      <x:c r="A80" s="96" t="str">
        <x:v>route_candidates</x:v>
      </x:c>
      <x:c r="B80" s="96" t="str">
        <x:v>estimated_seconds</x:v>
      </x:c>
      <x:c r="C80" s="96" t="str">
        <x:v>예상 시간(초)</x:v>
      </x:c>
      <x:c r="D80" s="96" t="str">
        <x:v>integer</x:v>
      </x:c>
      <x:c r="E80" s="97" t="str">
        <x:v>N</x:v>
      </x:c>
      <x:c r="F80" s="97" t="str">
        <x:v>N</x:v>
      </x:c>
      <x:c r="G80" s="96" t="str">
        <x:v>-</x:v>
      </x:c>
      <x:c r="H80" s="97" t="str">
        <x:v>N</x:v>
      </x:c>
      <x:c r="I80" s="97" t="str">
        <x:v>N</x:v>
      </x:c>
      <x:c r="J80" s="97" t="str">
        <x:v>-</x:v>
      </x:c>
      <x:c r="K80" s="96" t="str">
        <x:v>0 이상</x:v>
      </x:c>
      <x:c r="L80" s="96" t="str">
        <x:v>-</x:v>
      </x:c>
      <x:c r="M80" s="96" t="str">
        <x:v>ROUTE-004/005</x:v>
      </x:c>
      <x:c r="N80" s="96" t="str">
        <x:v>-</x:v>
      </x:c>
      <x:c r="O80" s="94" t="str">
        <x:v>N</x:v>
      </x:c>
      <x:c r="P80" s="94" t="str">
        <x:v>OK</x:v>
      </x:c>
      <x:c r="Q80" s="95"/>
      <x:c r="R80" s="87" t="str">
        <x:v>-</x:v>
      </x:c>
    </x:row>
    <x:row r="81" ht="42" customHeight="1">
      <x:c r="A81" s="96" t="str">
        <x:v>route_candidates</x:v>
      </x:c>
      <x:c r="B81" s="96" t="str">
        <x:v>distance_meters</x:v>
      </x:c>
      <x:c r="C81" s="96" t="str">
        <x:v>거리(m)</x:v>
      </x:c>
      <x:c r="D81" s="96" t="str">
        <x:v>integer</x:v>
      </x:c>
      <x:c r="E81" s="97" t="str">
        <x:v>N</x:v>
      </x:c>
      <x:c r="F81" s="97" t="str">
        <x:v>N</x:v>
      </x:c>
      <x:c r="G81" s="96" t="str">
        <x:v>-</x:v>
      </x:c>
      <x:c r="H81" s="97" t="str">
        <x:v>N</x:v>
      </x:c>
      <x:c r="I81" s="97" t="str">
        <x:v>N</x:v>
      </x:c>
      <x:c r="J81" s="97" t="str">
        <x:v>-</x:v>
      </x:c>
      <x:c r="K81" s="96" t="str">
        <x:v>0 이상</x:v>
      </x:c>
      <x:c r="L81" s="96" t="str">
        <x:v>-</x:v>
      </x:c>
      <x:c r="M81" s="96" t="str">
        <x:v>ROUTE-004/005</x:v>
      </x:c>
      <x:c r="N81" s="96" t="str">
        <x:v>-</x:v>
      </x:c>
      <x:c r="O81" s="94" t="str">
        <x:v>N</x:v>
      </x:c>
      <x:c r="P81" s="94" t="str">
        <x:v>OK</x:v>
      </x:c>
      <x:c r="Q81" s="95"/>
      <x:c r="R81" s="87" t="str">
        <x:v>-</x:v>
      </x:c>
    </x:row>
    <x:row r="82" ht="42" customHeight="1">
      <x:c r="A82" s="96" t="str">
        <x:v>route_candidates</x:v>
      </x:c>
      <x:c r="B82" s="96" t="str">
        <x:v>detour_minutes</x:v>
      </x:c>
      <x:c r="C82" s="96" t="str">
        <x:v>최단시간 대비 차이</x:v>
      </x:c>
      <x:c r="D82" s="96" t="str">
        <x:v>numeric(8,2)</x:v>
      </x:c>
      <x:c r="E82" s="97" t="str">
        <x:v>N</x:v>
      </x:c>
      <x:c r="F82" s="97" t="str">
        <x:v>N</x:v>
      </x:c>
      <x:c r="G82" s="96" t="str">
        <x:v>-</x:v>
      </x:c>
      <x:c r="H82" s="97" t="str">
        <x:v>Y</x:v>
      </x:c>
      <x:c r="I82" s="97" t="str">
        <x:v>N</x:v>
      </x:c>
      <x:c r="J82" s="97" t="str">
        <x:v>-</x:v>
      </x:c>
      <x:c r="K82" s="96" t="str">
        <x:v>0 이상</x:v>
      </x:c>
      <x:c r="L82" s="96" t="str">
        <x:v>-</x:v>
      </x:c>
      <x:c r="M82" s="96" t="str">
        <x:v>ROUTE-004</x:v>
      </x:c>
      <x:c r="N82" s="96" t="str">
        <x:v>-</x:v>
      </x:c>
      <x:c r="O82" s="94" t="str">
        <x:v>N</x:v>
      </x:c>
      <x:c r="P82" s="94" t="str">
        <x:v>OK</x:v>
      </x:c>
      <x:c r="Q82" s="95"/>
      <x:c r="R82" s="87" t="str">
        <x:v>-</x:v>
      </x:c>
    </x:row>
    <x:row r="83" ht="42" customHeight="1">
      <x:c r="A83" s="96" t="str">
        <x:v>route_candidates</x:v>
      </x:c>
      <x:c r="B83" s="96" t="str">
        <x:v>recommendation_reasons</x:v>
      </x:c>
      <x:c r="C83" s="96" t="str">
        <x:v>설명형 추천 이유</x:v>
      </x:c>
      <x:c r="D83" s="96" t="str">
        <x:v>jsonb</x:v>
      </x:c>
      <x:c r="E83" s="97" t="str">
        <x:v>N</x:v>
      </x:c>
      <x:c r="F83" s="97" t="str">
        <x:v>N</x:v>
      </x:c>
      <x:c r="G83" s="96" t="str">
        <x:v>-</x:v>
      </x:c>
      <x:c r="H83" s="97" t="str">
        <x:v>N</x:v>
      </x:c>
      <x:c r="I83" s="97" t="str">
        <x:v>N</x:v>
      </x:c>
      <x:c r="J83" s="97" t="str">
        <x:v>'[]'::jsonb</x:v>
      </x:c>
      <x:c r="K83" s="96" t="str">
        <x:v>배열 권장</x:v>
      </x:c>
      <x:c r="L83" s="96" t="str">
        <x:v>GIN 선택</x:v>
      </x:c>
      <x:c r="M83" s="96" t="str">
        <x:v>ROUTE-004/005</x:v>
      </x:c>
      <x:c r="N83" s="96" t="str">
        <x:v>0~100 점수 금지</x:v>
      </x:c>
      <x:c r="O83" s="94" t="str">
        <x:v>N</x:v>
      </x:c>
      <x:c r="P83" s="94" t="str">
        <x:v>OK</x:v>
      </x:c>
      <x:c r="Q83" s="95"/>
      <x:c r="R83" s="87" t="str">
        <x:v>-</x:v>
      </x:c>
    </x:row>
    <x:row r="84" s="24" customFormat="1" ht="42" customHeight="1">
      <x:c r="A84" s="98" t="str">
        <x:v>route_candidates</x:v>
      </x:c>
      <x:c r="B84" s="98" t="str">
        <x:v>feature_summary</x:v>
      </x:c>
      <x:c r="C84" s="98" t="str">
        <x:v>주의·특징 요약</x:v>
      </x:c>
      <x:c r="D84" s="98" t="str">
        <x:v>jsonb</x:v>
      </x:c>
      <x:c r="E84" s="99" t="str">
        <x:v>N</x:v>
      </x:c>
      <x:c r="F84" s="99" t="str">
        <x:v>N</x:v>
      </x:c>
      <x:c r="G84" s="98" t="str">
        <x:v>-</x:v>
      </x:c>
      <x:c r="H84" s="99" t="str">
        <x:v>Y</x:v>
      </x:c>
      <x:c r="I84" s="99" t="str">
        <x:v>N</x:v>
      </x:c>
      <x:c r="J84" s="99" t="str">
        <x:v>-</x:v>
      </x:c>
      <x:c r="K84" s="98" t="str">
        <x:v>-</x:v>
      </x:c>
      <x:c r="L84" s="98" t="str">
        <x:v>GIN 선택</x:v>
      </x:c>
      <x:c r="M84" s="98" t="str">
        <x:v>ROUTE-004/005</x:v>
      </x:c>
      <x:c r="N84" s="98" t="str">
        <x:v>-</x:v>
      </x:c>
      <x:c r="O84" s="94" t="str">
        <x:v>N</x:v>
      </x:c>
      <x:c r="P84" s="94" t="str">
        <x:v>OK</x:v>
      </x:c>
      <x:c r="Q84" s="95"/>
      <x:c r="R84" s="87" t="str">
        <x:v>-</x:v>
      </x:c>
    </x:row>
    <x:row r="85" ht="42" customHeight="1">
      <x:c r="A85" s="96" t="str">
        <x:v>route_candidates</x:v>
      </x:c>
      <x:c r="B85" s="96" t="str">
        <x:v>geom</x:v>
      </x:c>
      <x:c r="C85" s="96" t="str">
        <x:v>전체 경로 선형</x:v>
      </x:c>
      <x:c r="D85" s="96" t="str">
        <x:v>geometry(LineString,4326)</x:v>
      </x:c>
      <x:c r="E85" s="97" t="str">
        <x:v>N</x:v>
      </x:c>
      <x:c r="F85" s="97" t="str">
        <x:v>N</x:v>
      </x:c>
      <x:c r="G85" s="96" t="str">
        <x:v>-</x:v>
      </x:c>
      <x:c r="H85" s="97" t="str">
        <x:v>N</x:v>
      </x:c>
      <x:c r="I85" s="97" t="str">
        <x:v>N</x:v>
      </x:c>
      <x:c r="J85" s="97" t="str">
        <x:v>-</x:v>
      </x:c>
      <x:c r="K85" s="96" t="str">
        <x:v>유효 geometry</x:v>
      </x:c>
      <x:c r="L85" s="96" t="str">
        <x:v>GIST</x:v>
      </x:c>
      <x:c r="M85" s="96" t="str">
        <x:v>ROUTE/NAVI/A-ROUTE</x:v>
      </x:c>
      <x:c r="N85" s="96" t="str">
        <x:v>-</x:v>
      </x:c>
      <x:c r="O85" s="94" t="str">
        <x:v>Y</x:v>
      </x:c>
      <x:c r="P85" s="94" t="str">
        <x:v>OK</x:v>
      </x:c>
      <x:c r="Q85" s="95" t="str">
        <x:v>PostGIS + GiST 확인</x:v>
      </x:c>
      <x:c r="R85" s="87" t="str">
        <x:v>-</x:v>
      </x:c>
    </x:row>
    <x:row r="86" ht="42" customHeight="1">
      <x:c r="A86" s="96" t="str">
        <x:v>route_candidates</x:v>
      </x:c>
      <x:c r="B86" s="96" t="str">
        <x:v>is_selected</x:v>
      </x:c>
      <x:c r="C86" s="96" t="str">
        <x:v>사용자 선택 여부</x:v>
      </x:c>
      <x:c r="D86" s="96" t="str">
        <x:v>boolean</x:v>
      </x:c>
      <x:c r="E86" s="97" t="str">
        <x:v>N</x:v>
      </x:c>
      <x:c r="F86" s="97" t="str">
        <x:v>N</x:v>
      </x:c>
      <x:c r="G86" s="96" t="str">
        <x:v>-</x:v>
      </x:c>
      <x:c r="H86" s="97" t="str">
        <x:v>N</x:v>
      </x:c>
      <x:c r="I86" s="97" t="str">
        <x:v>N</x:v>
      </x:c>
      <x:c r="J86" s="100" t="b">
        <x:v>0</x:v>
      </x:c>
      <x:c r="K86" s="96" t="str">
        <x:v>요청당 true 최대 1</x:v>
      </x:c>
      <x:c r="L86" s="96" t="str">
        <x:v>UNIQUE(route_request_id) WHERE is_selected = true</x:v>
      </x:c>
      <x:c r="M86" s="96" t="str">
        <x:v>ROUTE/A-ROUTE</x:v>
      </x:c>
      <x:c r="N86" s="96" t="str">
        <x:v>-</x:v>
      </x:c>
      <x:c r="O86" s="94" t="str">
        <x:v>N</x:v>
      </x:c>
      <x:c r="P86" s="94" t="str">
        <x:v>수정 반영</x:v>
      </x:c>
      <x:c r="Q86" s="95" t="str">
        <x:v>요청당 선택 후보 true 최대 1개 partial UNIQUE</x:v>
      </x:c>
      <x:c r="R86" s="87" t="str">
        <x:v>-</x:v>
      </x:c>
    </x:row>
    <x:row r="87" ht="42" customHeight="1">
      <x:c r="A87" s="96" t="str">
        <x:v>route_candidates</x:v>
      </x:c>
      <x:c r="B87" s="96" t="str">
        <x:v>created_at</x:v>
      </x:c>
      <x:c r="C87" s="96" t="str">
        <x:v>생성일시</x:v>
      </x:c>
      <x:c r="D87" s="96" t="str">
        <x:v>timestamptz</x:v>
      </x:c>
      <x:c r="E87" s="97" t="str">
        <x:v>N</x:v>
      </x:c>
      <x:c r="F87" s="97" t="str">
        <x:v>N</x:v>
      </x:c>
      <x:c r="G87" s="96" t="str">
        <x:v>-</x:v>
      </x:c>
      <x:c r="H87" s="97" t="str">
        <x:v>N</x:v>
      </x:c>
      <x:c r="I87" s="97" t="str">
        <x:v>N</x:v>
      </x:c>
      <x:c r="J87" s="97" t="str">
        <x:v>now()</x:v>
      </x:c>
      <x:c r="K87" s="96" t="str">
        <x:v>-</x:v>
      </x:c>
      <x:c r="L87" s="96" t="str">
        <x:v>-</x:v>
      </x:c>
      <x:c r="M87" s="96" t="str">
        <x:v>ROUTE</x:v>
      </x:c>
      <x:c r="N87" s="96" t="str">
        <x:v>-</x:v>
      </x:c>
      <x:c r="O87" s="94" t="str">
        <x:v>N</x:v>
      </x:c>
      <x:c r="P87" s="94" t="str">
        <x:v>OK</x:v>
      </x:c>
      <x:c r="Q87" s="95"/>
      <x:c r="R87" s="87" t="str">
        <x:v>-</x:v>
      </x:c>
    </x:row>
    <x:row r="88" ht="42" customHeight="1">
      <x:c r="A88" s="96" t="str">
        <x:v>route_candidate_links</x:v>
      </x:c>
      <x:c r="B88" s="96" t="str">
        <x:v>route_candidate_id</x:v>
      </x:c>
      <x:c r="C88" s="96" t="str">
        <x:v>후보 FK</x:v>
      </x:c>
      <x:c r="D88" s="96" t="str">
        <x:v>uuid</x:v>
      </x:c>
      <x:c r="E88" s="97" t="str">
        <x:v>Y</x:v>
      </x:c>
      <x:c r="F88" s="97" t="str">
        <x:v>Y</x:v>
      </x:c>
      <x:c r="G88" s="96" t="str">
        <x:v>route_candidates.id</x:v>
      </x:c>
      <x:c r="H88" s="97" t="str">
        <x:v>N</x:v>
      </x:c>
      <x:c r="I88" s="97" t="str">
        <x:v>N</x:v>
      </x:c>
      <x:c r="J88" s="97" t="str">
        <x:v>-</x:v>
      </x:c>
      <x:c r="K88" s="96" t="str">
        <x:v>-</x:v>
      </x:c>
      <x:c r="L88" s="96" t="str">
        <x:v>PK 복합</x:v>
      </x:c>
      <x:c r="M88" s="96" t="str">
        <x:v>ROUTE-005/NAVI</x:v>
      </x:c>
      <x:c r="N88" s="96" t="str">
        <x:v>-</x:v>
      </x:c>
      <x:c r="O88" s="94" t="str">
        <x:v>N</x:v>
      </x:c>
      <x:c r="P88" s="94" t="str">
        <x:v>OK</x:v>
      </x:c>
      <x:c r="Q88" s="95"/>
      <x:c r="R88" s="87" t="str">
        <x:v>CASCADE</x:v>
      </x:c>
    </x:row>
    <x:row r="89" ht="42" customHeight="1">
      <x:c r="A89" s="91" t="str">
        <x:v>route_candidate_links</x:v>
      </x:c>
      <x:c r="B89" s="92" t="str">
        <x:v>seq</x:v>
      </x:c>
      <x:c r="C89" s="92" t="str">
        <x:v>구간 순서</x:v>
      </x:c>
      <x:c r="D89" s="92" t="str">
        <x:v>integer</x:v>
      </x:c>
      <x:c r="E89" s="93" t="str">
        <x:v>Y</x:v>
      </x:c>
      <x:c r="F89" s="93" t="str">
        <x:v>N</x:v>
      </x:c>
      <x:c r="G89" s="92" t="str">
        <x:v>-</x:v>
      </x:c>
      <x:c r="H89" s="93" t="str">
        <x:v>N</x:v>
      </x:c>
      <x:c r="I89" s="93" t="str">
        <x:v>N</x:v>
      </x:c>
      <x:c r="J89" s="93" t="str">
        <x:v>-</x:v>
      </x:c>
      <x:c r="K89" s="92" t="str">
        <x:v>&gt;= 1</x:v>
      </x:c>
      <x:c r="L89" s="92" t="str">
        <x:v>PK 복합</x:v>
      </x:c>
      <x:c r="M89" s="92" t="str">
        <x:v>ROUTE-005/NAVI</x:v>
      </x:c>
      <x:c r="N89" s="92" t="str">
        <x:v>-</x:v>
      </x:c>
      <x:c r="O89" s="94" t="str">
        <x:v>N</x:v>
      </x:c>
      <x:c r="P89" s="94" t="str">
        <x:v>수정 반영</x:v>
      </x:c>
      <x:c r="Q89" s="95" t="str">
        <x:v>구간 순서는 1부터 시작하도록 검증</x:v>
      </x:c>
      <x:c r="R89" s="87" t="str">
        <x:v>-</x:v>
      </x:c>
    </x:row>
    <x:row r="90" ht="42" customHeight="1">
      <x:c r="A90" s="96" t="str">
        <x:v>route_candidate_links</x:v>
      </x:c>
      <x:c r="B90" s="96" t="str">
        <x:v>road_link_id</x:v>
      </x:c>
      <x:c r="C90" s="96" t="str">
        <x:v>도로링크 FK</x:v>
      </x:c>
      <x:c r="D90" s="96" t="str">
        <x:v>bigint</x:v>
      </x:c>
      <x:c r="E90" s="97" t="str">
        <x:v>N</x:v>
      </x:c>
      <x:c r="F90" s="97" t="str">
        <x:v>Y</x:v>
      </x:c>
      <x:c r="G90" s="96" t="str">
        <x:v>road_links.id</x:v>
      </x:c>
      <x:c r="H90" s="97" t="str">
        <x:v>N</x:v>
      </x:c>
      <x:c r="I90" s="97" t="str">
        <x:v>N</x:v>
      </x:c>
      <x:c r="J90" s="97" t="str">
        <x:v>-</x:v>
      </x:c>
      <x:c r="K90" s="96" t="str">
        <x:v>-</x:v>
      </x:c>
      <x:c r="L90" s="96" t="str">
        <x:v>INDEX</x:v>
      </x:c>
      <x:c r="M90" s="96" t="str">
        <x:v>NAVI/A-ROUTE</x:v>
      </x:c>
      <x:c r="N90" s="96" t="str">
        <x:v>-</x:v>
      </x:c>
      <x:c r="O90" s="94" t="str">
        <x:v>N</x:v>
      </x:c>
      <x:c r="P90" s="94" t="str">
        <x:v>OK</x:v>
      </x:c>
      <x:c r="Q90" s="95"/>
      <x:c r="R90" s="87" t="str">
        <x:v>RESTRICT</x:v>
      </x:c>
    </x:row>
    <x:row r="91" ht="42" customHeight="1">
      <x:c r="A91" s="96" t="str">
        <x:v>route_candidate_links</x:v>
      </x:c>
      <x:c r="B91" s="96" t="str">
        <x:v>segment_seconds</x:v>
      </x:c>
      <x:c r="C91" s="96" t="str">
        <x:v>구간 예상시간</x:v>
      </x:c>
      <x:c r="D91" s="96" t="str">
        <x:v>integer</x:v>
      </x:c>
      <x:c r="E91" s="97" t="str">
        <x:v>N</x:v>
      </x:c>
      <x:c r="F91" s="97" t="str">
        <x:v>N</x:v>
      </x:c>
      <x:c r="G91" s="96" t="str">
        <x:v>-</x:v>
      </x:c>
      <x:c r="H91" s="97" t="str">
        <x:v>Y</x:v>
      </x:c>
      <x:c r="I91" s="97" t="str">
        <x:v>N</x:v>
      </x:c>
      <x:c r="J91" s="97" t="str">
        <x:v>-</x:v>
      </x:c>
      <x:c r="K91" s="96" t="str">
        <x:v>0 이상</x:v>
      </x:c>
      <x:c r="L91" s="96" t="str">
        <x:v>-</x:v>
      </x:c>
      <x:c r="M91" s="96" t="str">
        <x:v>NAVI</x:v>
      </x:c>
      <x:c r="N91" s="96" t="str">
        <x:v>선택</x:v>
      </x:c>
      <x:c r="O91" s="94" t="str">
        <x:v>N</x:v>
      </x:c>
      <x:c r="P91" s="94" t="str">
        <x:v>OK</x:v>
      </x:c>
      <x:c r="Q91" s="95"/>
      <x:c r="R91" s="87" t="str">
        <x:v>-</x:v>
      </x:c>
    </x:row>
    <x:row r="92" ht="42" customHeight="1">
      <x:c r="A92" s="96" t="str">
        <x:v>route_candidate_links</x:v>
      </x:c>
      <x:c r="B92" s="96" t="str">
        <x:v>segment_cost</x:v>
      </x:c>
      <x:c r="C92" s="96" t="str">
        <x:v>라우팅 비용</x:v>
      </x:c>
      <x:c r="D92" s="96" t="str">
        <x:v>numeric(12,4)</x:v>
      </x:c>
      <x:c r="E92" s="97" t="str">
        <x:v>N</x:v>
      </x:c>
      <x:c r="F92" s="97" t="str">
        <x:v>N</x:v>
      </x:c>
      <x:c r="G92" s="96" t="str">
        <x:v>-</x:v>
      </x:c>
      <x:c r="H92" s="97" t="str">
        <x:v>Y</x:v>
      </x:c>
      <x:c r="I92" s="97" t="str">
        <x:v>N</x:v>
      </x:c>
      <x:c r="J92" s="97" t="str">
        <x:v>-</x:v>
      </x:c>
      <x:c r="K92" s="96" t="str">
        <x:v>0 이상</x:v>
      </x:c>
      <x:c r="L92" s="96" t="str">
        <x:v>-</x:v>
      </x:c>
      <x:c r="M92" s="96" t="str">
        <x:v>경로엔진</x:v>
      </x:c>
      <x:c r="N92" s="96" t="str">
        <x:v>운영 비노출</x:v>
      </x:c>
      <x:c r="O92" s="94" t="str">
        <x:v>N</x:v>
      </x:c>
      <x:c r="P92" s="94" t="str">
        <x:v>OK</x:v>
      </x:c>
      <x:c r="Q92" s="95"/>
      <x:c r="R92" s="87" t="str">
        <x:v>-</x:v>
      </x:c>
    </x:row>
    <x:row r="93" ht="42" customHeight="1">
      <x:c r="A93" s="96" t="str">
        <x:v>route_candidate_links</x:v>
      </x:c>
      <x:c r="B93" s="96" t="str">
        <x:v>segment_features</x:v>
      </x:c>
      <x:c r="C93" s="96" t="str">
        <x:v>구간 설명용 특징</x:v>
      </x:c>
      <x:c r="D93" s="96" t="str">
        <x:v>jsonb</x:v>
      </x:c>
      <x:c r="E93" s="97" t="str">
        <x:v>N</x:v>
      </x:c>
      <x:c r="F93" s="97" t="str">
        <x:v>N</x:v>
      </x:c>
      <x:c r="G93" s="96" t="str">
        <x:v>-</x:v>
      </x:c>
      <x:c r="H93" s="97" t="str">
        <x:v>Y</x:v>
      </x:c>
      <x:c r="I93" s="97" t="str">
        <x:v>N</x:v>
      </x:c>
      <x:c r="J93" s="97" t="str">
        <x:v>-</x:v>
      </x:c>
      <x:c r="K93" s="96" t="str">
        <x:v>-</x:v>
      </x:c>
      <x:c r="L93" s="96" t="str">
        <x:v>GIN 선택</x:v>
      </x:c>
      <x:c r="M93" s="96" t="str">
        <x:v>ROUTE-005/NAVI</x:v>
      </x:c>
      <x:c r="N93" s="96" t="str">
        <x:v>-</x:v>
      </x:c>
      <x:c r="O93" s="94" t="str">
        <x:v>N</x:v>
      </x:c>
      <x:c r="P93" s="94" t="str">
        <x:v>OK</x:v>
      </x:c>
      <x:c r="Q93" s="95"/>
      <x:c r="R93" s="87" t="str">
        <x:v>-</x:v>
      </x:c>
    </x:row>
    <x:row r="94" ht="42" customHeight="1">
      <x:c r="A94" s="96" t="str">
        <x:v>admins</x:v>
      </x:c>
      <x:c r="B94" s="96" t="str">
        <x:v>id</x:v>
      </x:c>
      <x:c r="C94" s="96" t="str">
        <x:v>관리자 PK</x:v>
      </x:c>
      <x:c r="D94" s="96" t="str">
        <x:v>uuid</x:v>
      </x:c>
      <x:c r="E94" s="97" t="str">
        <x:v>Y</x:v>
      </x:c>
      <x:c r="F94" s="97" t="str">
        <x:v>N</x:v>
      </x:c>
      <x:c r="G94" s="96" t="str">
        <x:v>-</x:v>
      </x:c>
      <x:c r="H94" s="97" t="str">
        <x:v>N</x:v>
      </x:c>
      <x:c r="I94" s="97" t="str">
        <x:v>N</x:v>
      </x:c>
      <x:c r="J94" s="97" t="str">
        <x:v>gen_random_uuid()</x:v>
      </x:c>
      <x:c r="K94" s="96" t="str">
        <x:v>-</x:v>
      </x:c>
      <x:c r="L94" s="96" t="str">
        <x:v>PK</x:v>
      </x:c>
      <x:c r="M94" s="96" t="str">
        <x:v>A-AUTH/A-ADMIN</x:v>
      </x:c>
      <x:c r="N94" s="96" t="str">
        <x:v>-</x:v>
      </x:c>
      <x:c r="O94" s="94" t="str">
        <x:v>N</x:v>
      </x:c>
      <x:c r="P94" s="94" t="str">
        <x:v>수정 반영</x:v>
      </x:c>
      <x:c r="Q94" s="95" t="str">
        <x:v>PK 자체가 NOT NULL + UNIQUE를 보장하므로 별도 UNIQUE 플래그 제거</x:v>
      </x:c>
      <x:c r="R94" s="87" t="str">
        <x:v>-</x:v>
      </x:c>
    </x:row>
    <x:row r="95" ht="42" customHeight="1">
      <x:c r="A95" s="96" t="str">
        <x:v>admins</x:v>
      </x:c>
      <x:c r="B95" s="96" t="str">
        <x:v>email</x:v>
      </x:c>
      <x:c r="C95" s="96" t="str">
        <x:v>관리자 로그인 이메일</x:v>
      </x:c>
      <x:c r="D95" s="96" t="str">
        <x:v>varchar(255)</x:v>
      </x:c>
      <x:c r="E95" s="97" t="str">
        <x:v>N</x:v>
      </x:c>
      <x:c r="F95" s="97" t="str">
        <x:v>N</x:v>
      </x:c>
      <x:c r="G95" s="96" t="str">
        <x:v>-</x:v>
      </x:c>
      <x:c r="H95" s="97" t="str">
        <x:v>N</x:v>
      </x:c>
      <x:c r="I95" s="97" t="str">
        <x:v>Y</x:v>
      </x:c>
      <x:c r="J95" s="97" t="str">
        <x:v>-</x:v>
      </x:c>
      <x:c r="K95" s="96" t="str">
        <x:v>Backend 입력: ^[a-zA-Z0-9._%+-]+@[a-zA-Z0-9.-]+\.[a-zA-Z]{2,}$; DB: email = lower(email)</x:v>
      </x:c>
      <x:c r="L95" s="96" t="str">
        <x:v>UNIQUE</x:v>
      </x:c>
      <x:c r="M95" s="96" t="str">
        <x:v>A-AUTH/A-ADMIN</x:v>
      </x:c>
      <x:c r="N95" s="96" t="str">
        <x:v>Backend에서 trim + lowercase 정규화 후 저장</x:v>
      </x:c>
      <x:c r="O95" s="94" t="str">
        <x:v>N</x:v>
      </x:c>
      <x:c r="P95" s="94" t="str">
        <x:v>확정</x:v>
      </x:c>
      <x:c r="Q95" s="95" t="str">
        <x:v>citext 미사용; lowercase 저장 + UNIQUE</x:v>
      </x:c>
      <x:c r="R95" s="87" t="str">
        <x:v>-</x:v>
      </x:c>
    </x:row>
    <x:row r="96" s="24" customFormat="1" ht="42" customHeight="1">
      <x:c r="A96" s="98" t="str">
        <x:v>admins</x:v>
      </x:c>
      <x:c r="B96" s="98" t="str">
        <x:v>password_hash</x:v>
      </x:c>
      <x:c r="C96" s="98" t="str">
        <x:v>관리자 비밀번호 hash</x:v>
      </x:c>
      <x:c r="D96" s="98" t="str">
        <x:v>text</x:v>
      </x:c>
      <x:c r="E96" s="99" t="str">
        <x:v>N</x:v>
      </x:c>
      <x:c r="F96" s="99" t="str">
        <x:v>N</x:v>
      </x:c>
      <x:c r="G96" s="98" t="str">
        <x:v>-</x:v>
      </x:c>
      <x:c r="H96" s="99" t="str">
        <x:v>N</x:v>
      </x:c>
      <x:c r="I96" s="99" t="str">
        <x:v>N</x:v>
      </x:c>
      <x:c r="J96" s="99" t="str">
        <x:v>-</x:v>
      </x:c>
      <x:c r="K96" s="98" t="str">
        <x:v>원문 금지</x:v>
      </x:c>
      <x:c r="L96" s="98" t="str">
        <x:v>-</x:v>
      </x:c>
      <x:c r="M96" s="98" t="str">
        <x:v>A-AUTH</x:v>
      </x:c>
      <x:c r="N96" s="98" t="str">
        <x:v>-</x:v>
      </x:c>
      <x:c r="O96" s="94" t="str">
        <x:v>N</x:v>
      </x:c>
      <x:c r="P96" s="94" t="str">
        <x:v>OK</x:v>
      </x:c>
      <x:c r="Q96" s="95"/>
      <x:c r="R96" s="87" t="str">
        <x:v>-</x:v>
      </x:c>
    </x:row>
    <x:row r="97" ht="42" customHeight="1">
      <x:c r="A97" s="96" t="str">
        <x:v>admins</x:v>
      </x:c>
      <x:c r="B97" s="96" t="str">
        <x:v>role</x:v>
      </x:c>
      <x:c r="C97" s="96" t="str">
        <x:v>관리자 역할</x:v>
      </x:c>
      <x:c r="D97" s="96" t="str">
        <x:v>varchar(20)</x:v>
      </x:c>
      <x:c r="E97" s="97" t="str">
        <x:v>N</x:v>
      </x:c>
      <x:c r="F97" s="97" t="str">
        <x:v>N</x:v>
      </x:c>
      <x:c r="G97" s="96" t="str">
        <x:v>-</x:v>
      </x:c>
      <x:c r="H97" s="97" t="str">
        <x:v>N</x:v>
      </x:c>
      <x:c r="I97" s="97" t="str">
        <x:v>N</x:v>
      </x:c>
      <x:c r="J97" s="97" t="str">
        <x:v>'admin'</x:v>
      </x:c>
      <x:c r="K97" s="96" t="str">
        <x:v>super_admin/admin</x:v>
      </x:c>
      <x:c r="L97" s="96" t="str">
        <x:v>INDEX</x:v>
      </x:c>
      <x:c r="M97" s="96" t="str">
        <x:v>A-AUTH/A-ADMIN</x:v>
      </x:c>
      <x:c r="N97" s="96" t="str">
        <x:v>-</x:v>
      </x:c>
      <x:c r="O97" s="94" t="str">
        <x:v>N</x:v>
      </x:c>
      <x:c r="P97" s="94" t="str">
        <x:v>OK</x:v>
      </x:c>
      <x:c r="Q97" s="95"/>
      <x:c r="R97" s="87" t="str">
        <x:v>-</x:v>
      </x:c>
    </x:row>
    <x:row r="98" ht="42" customHeight="1">
      <x:c r="A98" s="96" t="str">
        <x:v>admins</x:v>
      </x:c>
      <x:c r="B98" s="96" t="str">
        <x:v>is_active</x:v>
      </x:c>
      <x:c r="C98" s="96" t="str">
        <x:v>활성 여부</x:v>
      </x:c>
      <x:c r="D98" s="96" t="str">
        <x:v>boolean</x:v>
      </x:c>
      <x:c r="E98" s="97" t="str">
        <x:v>N</x:v>
      </x:c>
      <x:c r="F98" s="97" t="str">
        <x:v>N</x:v>
      </x:c>
      <x:c r="G98" s="96" t="str">
        <x:v>-</x:v>
      </x:c>
      <x:c r="H98" s="97" t="str">
        <x:v>N</x:v>
      </x:c>
      <x:c r="I98" s="97" t="str">
        <x:v>N</x:v>
      </x:c>
      <x:c r="J98" s="100" t="b">
        <x:v>1</x:v>
      </x:c>
      <x:c r="K98" s="96" t="str">
        <x:v>-</x:v>
      </x:c>
      <x:c r="L98" s="96" t="str">
        <x:v>INDEX</x:v>
      </x:c>
      <x:c r="M98" s="96" t="str">
        <x:v>A-AUTH/A-ADMIN</x:v>
      </x:c>
      <x:c r="N98" s="96" t="str">
        <x:v>-</x:v>
      </x:c>
      <x:c r="O98" s="94" t="str">
        <x:v>N</x:v>
      </x:c>
      <x:c r="P98" s="94" t="str">
        <x:v>OK</x:v>
      </x:c>
      <x:c r="Q98" s="95"/>
      <x:c r="R98" s="87" t="str">
        <x:v>-</x:v>
      </x:c>
    </x:row>
    <x:row r="99" ht="42" customHeight="1">
      <x:c r="A99" s="96" t="str">
        <x:v>admins</x:v>
      </x:c>
      <x:c r="B99" s="96" t="str">
        <x:v>granted_by_admin_id</x:v>
      </x:c>
      <x:c r="C99" s="96" t="str">
        <x:v>권한 부여자 self FK</x:v>
      </x:c>
      <x:c r="D99" s="96" t="str">
        <x:v>uuid</x:v>
      </x:c>
      <x:c r="E99" s="97" t="str">
        <x:v>N</x:v>
      </x:c>
      <x:c r="F99" s="97" t="str">
        <x:v>Y</x:v>
      </x:c>
      <x:c r="G99" s="96" t="str">
        <x:v>admins.id</x:v>
      </x:c>
      <x:c r="H99" s="97" t="str">
        <x:v>Y</x:v>
      </x:c>
      <x:c r="I99" s="97" t="str">
        <x:v>N</x:v>
      </x:c>
      <x:c r="J99" s="97" t="str">
        <x:v>-</x:v>
      </x:c>
      <x:c r="K99" s="96" t="str">
        <x:v>Super 최초계정 NULL</x:v>
      </x:c>
      <x:c r="L99" s="96" t="str">
        <x:v>INDEX</x:v>
      </x:c>
      <x:c r="M99" s="96" t="str">
        <x:v>A-ADMIN</x:v>
      </x:c>
      <x:c r="N99" s="96" t="str">
        <x:v>-</x:v>
      </x:c>
      <x:c r="O99" s="94" t="str">
        <x:v>N</x:v>
      </x:c>
      <x:c r="P99" s="94" t="str">
        <x:v>OK</x:v>
      </x:c>
      <x:c r="Q99" s="95"/>
      <x:c r="R99" s="87" t="str">
        <x:v>SET NULL</x:v>
      </x:c>
    </x:row>
    <x:row r="100" ht="42" customHeight="1">
      <x:c r="A100" s="91" t="str">
        <x:v>admins</x:v>
      </x:c>
      <x:c r="B100" s="92" t="str">
        <x:v>granted_at</x:v>
      </x:c>
      <x:c r="C100" s="92" t="str">
        <x:v>권한 부여시각</x:v>
      </x:c>
      <x:c r="D100" s="92" t="str">
        <x:v>timestamptz</x:v>
      </x:c>
      <x:c r="E100" s="93" t="str">
        <x:v>N</x:v>
      </x:c>
      <x:c r="F100" s="93" t="str">
        <x:v>N</x:v>
      </x:c>
      <x:c r="G100" s="92" t="str">
        <x:v>-</x:v>
      </x:c>
      <x:c r="H100" s="93" t="str">
        <x:v>N</x:v>
      </x:c>
      <x:c r="I100" s="93" t="str">
        <x:v>N</x:v>
      </x:c>
      <x:c r="J100" s="93" t="str">
        <x:v>now()</x:v>
      </x:c>
      <x:c r="K100" s="92" t="str">
        <x:v>-</x:v>
      </x:c>
      <x:c r="L100" s="92" t="str">
        <x:v>-</x:v>
      </x:c>
      <x:c r="M100" s="92" t="str">
        <x:v>A-ADMIN</x:v>
      </x:c>
      <x:c r="N100" s="92" t="str">
        <x:v>-</x:v>
      </x:c>
      <x:c r="O100" s="94" t="str">
        <x:v>N</x:v>
      </x:c>
      <x:c r="P100" s="94" t="str">
        <x:v>OK</x:v>
      </x:c>
      <x:c r="Q100" s="95"/>
      <x:c r="R100" s="87" t="str">
        <x:v>-</x:v>
      </x:c>
    </x:row>
    <x:row r="101" ht="42" customHeight="1">
      <x:c r="A101" s="96" t="str">
        <x:v>admins</x:v>
      </x:c>
      <x:c r="B101" s="96" t="str">
        <x:v>revoked_at</x:v>
      </x:c>
      <x:c r="C101" s="96" t="str">
        <x:v>권한 회수시각</x:v>
      </x:c>
      <x:c r="D101" s="96" t="str">
        <x:v>timestamptz</x:v>
      </x:c>
      <x:c r="E101" s="97" t="str">
        <x:v>N</x:v>
      </x:c>
      <x:c r="F101" s="97" t="str">
        <x:v>N</x:v>
      </x:c>
      <x:c r="G101" s="96" t="str">
        <x:v>-</x:v>
      </x:c>
      <x:c r="H101" s="97" t="str">
        <x:v>Y</x:v>
      </x:c>
      <x:c r="I101" s="97" t="str">
        <x:v>N</x:v>
      </x:c>
      <x:c r="J101" s="97" t="str">
        <x:v>-</x:v>
      </x:c>
      <x:c r="K101" s="96" t="str">
        <x:v>-</x:v>
      </x:c>
      <x:c r="L101" s="96" t="str">
        <x:v>-</x:v>
      </x:c>
      <x:c r="M101" s="96" t="str">
        <x:v>A-ADMIN</x:v>
      </x:c>
      <x:c r="N101" s="96" t="str">
        <x:v>-</x:v>
      </x:c>
      <x:c r="O101" s="94" t="str">
        <x:v>N</x:v>
      </x:c>
      <x:c r="P101" s="94" t="str">
        <x:v>OK</x:v>
      </x:c>
      <x:c r="Q101" s="95"/>
      <x:c r="R101" s="87" t="str">
        <x:v>-</x:v>
      </x:c>
    </x:row>
    <x:row r="102" ht="42" customHeight="1">
      <x:c r="A102" s="96" t="str">
        <x:v>admins</x:v>
      </x:c>
      <x:c r="B102" s="96" t="str">
        <x:v>last_login_at</x:v>
      </x:c>
      <x:c r="C102" s="96" t="str">
        <x:v>최근 로그인</x:v>
      </x:c>
      <x:c r="D102" s="96" t="str">
        <x:v>timestamptz</x:v>
      </x:c>
      <x:c r="E102" s="97" t="str">
        <x:v>N</x:v>
      </x:c>
      <x:c r="F102" s="97" t="str">
        <x:v>N</x:v>
      </x:c>
      <x:c r="G102" s="96" t="str">
        <x:v>-</x:v>
      </x:c>
      <x:c r="H102" s="97" t="str">
        <x:v>Y</x:v>
      </x:c>
      <x:c r="I102" s="97" t="str">
        <x:v>N</x:v>
      </x:c>
      <x:c r="J102" s="97" t="str">
        <x:v>-</x:v>
      </x:c>
      <x:c r="K102" s="96" t="str">
        <x:v>-</x:v>
      </x:c>
      <x:c r="L102" s="96" t="str">
        <x:v>INDEX</x:v>
      </x:c>
      <x:c r="M102" s="96" t="str">
        <x:v>A-AUTH</x:v>
      </x:c>
      <x:c r="N102" s="96" t="str">
        <x:v>-</x:v>
      </x:c>
      <x:c r="O102" s="94" t="str">
        <x:v>N</x:v>
      </x:c>
      <x:c r="P102" s="94" t="str">
        <x:v>OK</x:v>
      </x:c>
      <x:c r="Q102" s="95"/>
      <x:c r="R102" s="87" t="str">
        <x:v>-</x:v>
      </x:c>
    </x:row>
    <x:row r="103" ht="42" customHeight="1">
      <x:c r="A103" s="96" t="str">
        <x:v>admins</x:v>
      </x:c>
      <x:c r="B103" s="96" t="str">
        <x:v>created_at</x:v>
      </x:c>
      <x:c r="C103" s="96" t="str">
        <x:v>생성일시</x:v>
      </x:c>
      <x:c r="D103" s="96" t="str">
        <x:v>timestamptz</x:v>
      </x:c>
      <x:c r="E103" s="97" t="str">
        <x:v>N</x:v>
      </x:c>
      <x:c r="F103" s="97" t="str">
        <x:v>N</x:v>
      </x:c>
      <x:c r="G103" s="96" t="str">
        <x:v>-</x:v>
      </x:c>
      <x:c r="H103" s="97" t="str">
        <x:v>N</x:v>
      </x:c>
      <x:c r="I103" s="97" t="str">
        <x:v>N</x:v>
      </x:c>
      <x:c r="J103" s="97" t="str">
        <x:v>now()</x:v>
      </x:c>
      <x:c r="K103" s="96" t="str">
        <x:v>-</x:v>
      </x:c>
      <x:c r="L103" s="96" t="str">
        <x:v>-</x:v>
      </x:c>
      <x:c r="M103" s="96" t="str">
        <x:v>A-ADMIN</x:v>
      </x:c>
      <x:c r="N103" s="96" t="str">
        <x:v>-</x:v>
      </x:c>
      <x:c r="O103" s="94" t="str">
        <x:v>N</x:v>
      </x:c>
      <x:c r="P103" s="94" t="str">
        <x:v>OK</x:v>
      </x:c>
      <x:c r="Q103" s="95"/>
      <x:c r="R103" s="87" t="str">
        <x:v>-</x:v>
      </x:c>
    </x:row>
    <x:row r="104" ht="42" customHeight="1">
      <x:c r="A104" s="96" t="str">
        <x:v>admin_sessions</x:v>
      </x:c>
      <x:c r="B104" s="96" t="str">
        <x:v>id</x:v>
      </x:c>
      <x:c r="C104" s="96" t="str">
        <x:v>관리자세션 PK</x:v>
      </x:c>
      <x:c r="D104" s="96" t="str">
        <x:v>uuid</x:v>
      </x:c>
      <x:c r="E104" s="97" t="str">
        <x:v>Y</x:v>
      </x:c>
      <x:c r="F104" s="97" t="str">
        <x:v>N</x:v>
      </x:c>
      <x:c r="G104" s="96" t="str">
        <x:v>-</x:v>
      </x:c>
      <x:c r="H104" s="97" t="str">
        <x:v>N</x:v>
      </x:c>
      <x:c r="I104" s="97" t="str">
        <x:v>N</x:v>
      </x:c>
      <x:c r="J104" s="97" t="str">
        <x:v>gen_random_uuid()</x:v>
      </x:c>
      <x:c r="K104" s="96" t="str">
        <x:v>-</x:v>
      </x:c>
      <x:c r="L104" s="96" t="str">
        <x:v>PK</x:v>
      </x:c>
      <x:c r="M104" s="96" t="str">
        <x:v>A-AUTH</x:v>
      </x:c>
      <x:c r="N104" s="96" t="str">
        <x:v>-</x:v>
      </x:c>
      <x:c r="O104" s="94" t="str">
        <x:v>N</x:v>
      </x:c>
      <x:c r="P104" s="94" t="str">
        <x:v>수정 반영</x:v>
      </x:c>
      <x:c r="Q104" s="95" t="str">
        <x:v>PK 자체가 NOT NULL + UNIQUE를 보장하므로 별도 UNIQUE 플래그 제거</x:v>
      </x:c>
      <x:c r="R104" s="87" t="str">
        <x:v>-</x:v>
      </x:c>
    </x:row>
    <x:row r="105" ht="42" customHeight="1">
      <x:c r="A105" s="96" t="str">
        <x:v>admin_sessions</x:v>
      </x:c>
      <x:c r="B105" s="96" t="str">
        <x:v>admin_id</x:v>
      </x:c>
      <x:c r="C105" s="96" t="str">
        <x:v>관리자 FK</x:v>
      </x:c>
      <x:c r="D105" s="96" t="str">
        <x:v>uuid</x:v>
      </x:c>
      <x:c r="E105" s="97" t="str">
        <x:v>N</x:v>
      </x:c>
      <x:c r="F105" s="97" t="str">
        <x:v>Y</x:v>
      </x:c>
      <x:c r="G105" s="96" t="str">
        <x:v>admins.id</x:v>
      </x:c>
      <x:c r="H105" s="97" t="str">
        <x:v>N</x:v>
      </x:c>
      <x:c r="I105" s="97" t="str">
        <x:v>N</x:v>
      </x:c>
      <x:c r="J105" s="97" t="str">
        <x:v>-</x:v>
      </x:c>
      <x:c r="K105" s="96" t="str">
        <x:v>-</x:v>
      </x:c>
      <x:c r="L105" s="96" t="str">
        <x:v>INDEX</x:v>
      </x:c>
      <x:c r="M105" s="96" t="str">
        <x:v>A-AUTH</x:v>
      </x:c>
      <x:c r="N105" s="96" t="str">
        <x:v>-</x:v>
      </x:c>
      <x:c r="O105" s="94" t="str">
        <x:v>N</x:v>
      </x:c>
      <x:c r="P105" s="94" t="str">
        <x:v>OK</x:v>
      </x:c>
      <x:c r="Q105" s="95"/>
      <x:c r="R105" s="87" t="str">
        <x:v>CASCADE</x:v>
      </x:c>
    </x:row>
    <x:row r="106" ht="42" customHeight="1">
      <x:c r="A106" s="91" t="str">
        <x:v>admin_sessions</x:v>
      </x:c>
      <x:c r="B106" s="92" t="str">
        <x:v>refresh_token_hash</x:v>
      </x:c>
      <x:c r="C106" s="92" t="str">
        <x:v>Refresh token hash</x:v>
      </x:c>
      <x:c r="D106" s="92" t="str">
        <x:v>text</x:v>
      </x:c>
      <x:c r="E106" s="93" t="str">
        <x:v>N</x:v>
      </x:c>
      <x:c r="F106" s="93" t="str">
        <x:v>N</x:v>
      </x:c>
      <x:c r="G106" s="92" t="str">
        <x:v>-</x:v>
      </x:c>
      <x:c r="H106" s="93" t="str">
        <x:v>N</x:v>
      </x:c>
      <x:c r="I106" s="93" t="str">
        <x:v>Y</x:v>
      </x:c>
      <x:c r="J106" s="93" t="str">
        <x:v>-</x:v>
      </x:c>
      <x:c r="K106" s="92" t="str">
        <x:v>원문 금지</x:v>
      </x:c>
      <x:c r="L106" s="92" t="str">
        <x:v>UNIQUE</x:v>
      </x:c>
      <x:c r="M106" s="92" t="str">
        <x:v>A-AUTH</x:v>
      </x:c>
      <x:c r="N106" s="92" t="str">
        <x:v>-</x:v>
      </x:c>
      <x:c r="O106" s="94" t="str">
        <x:v>N</x:v>
      </x:c>
      <x:c r="P106" s="94" t="str">
        <x:v>OK</x:v>
      </x:c>
      <x:c r="Q106" s="95"/>
      <x:c r="R106" s="87" t="str">
        <x:v>-</x:v>
      </x:c>
    </x:row>
    <x:row r="107" ht="42" customHeight="1">
      <x:c r="A107" s="96" t="str">
        <x:v>admin_sessions</x:v>
      </x:c>
      <x:c r="B107" s="96" t="str">
        <x:v>expires_at</x:v>
      </x:c>
      <x:c r="C107" s="96" t="str">
        <x:v>세션 만료시각</x:v>
      </x:c>
      <x:c r="D107" s="96" t="str">
        <x:v>timestamptz</x:v>
      </x:c>
      <x:c r="E107" s="97" t="str">
        <x:v>N</x:v>
      </x:c>
      <x:c r="F107" s="97" t="str">
        <x:v>N</x:v>
      </x:c>
      <x:c r="G107" s="96" t="str">
        <x:v>-</x:v>
      </x:c>
      <x:c r="H107" s="97" t="str">
        <x:v>N</x:v>
      </x:c>
      <x:c r="I107" s="97" t="str">
        <x:v>N</x:v>
      </x:c>
      <x:c r="J107" s="97" t="str">
        <x:v>-</x:v>
      </x:c>
      <x:c r="K107" s="96" t="str">
        <x:v>expires_at &gt; created_at</x:v>
      </x:c>
      <x:c r="L107" s="96" t="str">
        <x:v>INDEX</x:v>
      </x:c>
      <x:c r="M107" s="96" t="str">
        <x:v>A-AUTH/A-ADMIN</x:v>
      </x:c>
      <x:c r="N107" s="96" t="str">
        <x:v>로그아웃·권한회수 시 세션 row 삭제 또는 revoked_at 확장</x:v>
      </x:c>
      <x:c r="O107" s="94" t="str">
        <x:v>N</x:v>
      </x:c>
      <x:c r="P107" s="94" t="str">
        <x:v>수정 반영</x:v>
      </x:c>
      <x:c r="Q107" s="95" t="str">
        <x:v>expired_at 의미 혼동 → expires_at NOT NULL로 정리</x:v>
      </x:c>
      <x:c r="R107" s="87" t="str">
        <x:v>-</x:v>
      </x:c>
    </x:row>
    <x:row r="108" ht="42" customHeight="1">
      <x:c r="A108" s="96" t="str">
        <x:v>admin_sessions</x:v>
      </x:c>
      <x:c r="B108" s="96" t="str">
        <x:v>ip_address</x:v>
      </x:c>
      <x:c r="C108" s="96" t="str">
        <x:v>접속 IP</x:v>
      </x:c>
      <x:c r="D108" s="96" t="str">
        <x:v>inet</x:v>
      </x:c>
      <x:c r="E108" s="97" t="str">
        <x:v>N</x:v>
      </x:c>
      <x:c r="F108" s="97" t="str">
        <x:v>N</x:v>
      </x:c>
      <x:c r="G108" s="96" t="str">
        <x:v>-</x:v>
      </x:c>
      <x:c r="H108" s="97" t="str">
        <x:v>Y</x:v>
      </x:c>
      <x:c r="I108" s="97" t="str">
        <x:v>N</x:v>
      </x:c>
      <x:c r="J108" s="97" t="str">
        <x:v>-</x:v>
      </x:c>
      <x:c r="K108" s="96" t="str">
        <x:v>-</x:v>
      </x:c>
      <x:c r="L108" s="96" t="str">
        <x:v>-</x:v>
      </x:c>
      <x:c r="M108" s="96" t="str">
        <x:v>A-AUTH</x:v>
      </x:c>
      <x:c r="N108" s="96" t="str">
        <x:v>-</x:v>
      </x:c>
      <x:c r="O108" s="94" t="str">
        <x:v>N</x:v>
      </x:c>
      <x:c r="P108" s="94" t="str">
        <x:v>권장 확인</x:v>
      </x:c>
      <x:c r="Q108" s="95" t="str">
        <x:v>관리자 보안 목적의 선택값; 보존기간 정책 필요</x:v>
      </x:c>
      <x:c r="R108" s="87" t="str">
        <x:v>-</x:v>
      </x:c>
    </x:row>
    <x:row r="109" ht="42" customHeight="1">
      <x:c r="A109" s="96" t="str">
        <x:v>admin_sessions</x:v>
      </x:c>
      <x:c r="B109" s="96" t="str">
        <x:v>created_at</x:v>
      </x:c>
      <x:c r="C109" s="96" t="str">
        <x:v>생성일시</x:v>
      </x:c>
      <x:c r="D109" s="96" t="str">
        <x:v>timestamptz</x:v>
      </x:c>
      <x:c r="E109" s="97" t="str">
        <x:v>N</x:v>
      </x:c>
      <x:c r="F109" s="97" t="str">
        <x:v>N</x:v>
      </x:c>
      <x:c r="G109" s="96" t="str">
        <x:v>-</x:v>
      </x:c>
      <x:c r="H109" s="97" t="str">
        <x:v>N</x:v>
      </x:c>
      <x:c r="I109" s="97" t="str">
        <x:v>N</x:v>
      </x:c>
      <x:c r="J109" s="97" t="str">
        <x:v>now()</x:v>
      </x:c>
      <x:c r="K109" s="96" t="str">
        <x:v>-</x:v>
      </x:c>
      <x:c r="L109" s="96" t="str">
        <x:v>-</x:v>
      </x:c>
      <x:c r="M109" s="96" t="str">
        <x:v>A-AUTH</x:v>
      </x:c>
      <x:c r="N109" s="96" t="str">
        <x:v>-</x:v>
      </x:c>
      <x:c r="O109" s="94" t="str">
        <x:v>N</x:v>
      </x:c>
      <x:c r="P109" s="94" t="str">
        <x:v>OK</x:v>
      </x:c>
      <x:c r="Q109" s="95"/>
      <x:c r="R109" s="87" t="str">
        <x:v>-</x:v>
      </x:c>
    </x:row>
    <x:row r="110" ht="42" customHeight="1">
      <x:c r="A110" s="96" t="str">
        <x:v>admin_audit_logs</x:v>
      </x:c>
      <x:c r="B110" s="96" t="str">
        <x:v>id</x:v>
      </x:c>
      <x:c r="C110" s="96" t="str">
        <x:v>감사로그 PK</x:v>
      </x:c>
      <x:c r="D110" s="96" t="str">
        <x:v>bigint</x:v>
      </x:c>
      <x:c r="E110" s="97" t="str">
        <x:v>Y</x:v>
      </x:c>
      <x:c r="F110" s="97" t="str">
        <x:v>N</x:v>
      </x:c>
      <x:c r="G110" s="96" t="str">
        <x:v>-</x:v>
      </x:c>
      <x:c r="H110" s="97" t="str">
        <x:v>N</x:v>
      </x:c>
      <x:c r="I110" s="97" t="str">
        <x:v>N</x:v>
      </x:c>
      <x:c r="J110" s="97" t="str">
        <x:v>GENERATED BY DEFAULT AS IDENTITY</x:v>
      </x:c>
      <x:c r="K110" s="96" t="str">
        <x:v>-</x:v>
      </x:c>
      <x:c r="L110" s="96" t="str">
        <x:v>PK</x:v>
      </x:c>
      <x:c r="M110" s="96" t="str">
        <x:v>A-ADMIN</x:v>
      </x:c>
      <x:c r="N110" s="96" t="str">
        <x:v>-</x:v>
      </x:c>
      <x:c r="O110" s="94" t="str">
        <x:v>N</x:v>
      </x:c>
      <x:c r="P110" s="94" t="str">
        <x:v>수정 반영</x:v>
      </x:c>
      <x:c r="Q110" s="95" t="str">
        <x:v>identity는 DEFAULT 값이 아니라 GENERATED BY DEFAULT AS IDENTITY 구문으로 생성</x:v>
      </x:c>
      <x:c r="R110" s="87" t="str">
        <x:v>-</x:v>
      </x:c>
    </x:row>
    <x:row r="111" ht="42" customHeight="1">
      <x:c r="A111" s="96" t="str">
        <x:v>admin_audit_logs</x:v>
      </x:c>
      <x:c r="B111" s="96" t="str">
        <x:v>actor_admin_id</x:v>
      </x:c>
      <x:c r="C111" s="96" t="str">
        <x:v>행위 관리자 FK</x:v>
      </x:c>
      <x:c r="D111" s="96" t="str">
        <x:v>uuid</x:v>
      </x:c>
      <x:c r="E111" s="97" t="str">
        <x:v>N</x:v>
      </x:c>
      <x:c r="F111" s="97" t="str">
        <x:v>Y</x:v>
      </x:c>
      <x:c r="G111" s="96" t="str">
        <x:v>admins.id</x:v>
      </x:c>
      <x:c r="H111" s="97" t="str">
        <x:v>N</x:v>
      </x:c>
      <x:c r="I111" s="97" t="str">
        <x:v>N</x:v>
      </x:c>
      <x:c r="J111" s="97" t="str">
        <x:v>-</x:v>
      </x:c>
      <x:c r="K111" s="96" t="str">
        <x:v>-</x:v>
      </x:c>
      <x:c r="L111" s="96" t="str">
        <x:v>INDEX</x:v>
      </x:c>
      <x:c r="M111" s="96" t="str">
        <x:v>A-ADMIN</x:v>
      </x:c>
      <x:c r="N111" s="96" t="str">
        <x:v>-</x:v>
      </x:c>
      <x:c r="O111" s="94" t="str">
        <x:v>N</x:v>
      </x:c>
      <x:c r="P111" s="94" t="str">
        <x:v>OK</x:v>
      </x:c>
      <x:c r="Q111" s="95"/>
      <x:c r="R111" s="87" t="str">
        <x:v>RESTRICT</x:v>
      </x:c>
    </x:row>
    <x:row r="112" ht="42" customHeight="1">
      <x:c r="A112" s="96" t="str">
        <x:v>admin_audit_logs</x:v>
      </x:c>
      <x:c r="B112" s="96" t="str">
        <x:v>target_admin_id</x:v>
      </x:c>
      <x:c r="C112" s="96" t="str">
        <x:v>대상 관리자 FK</x:v>
      </x:c>
      <x:c r="D112" s="96" t="str">
        <x:v>uuid</x:v>
      </x:c>
      <x:c r="E112" s="97" t="str">
        <x:v>N</x:v>
      </x:c>
      <x:c r="F112" s="97" t="str">
        <x:v>Y</x:v>
      </x:c>
      <x:c r="G112" s="96" t="str">
        <x:v>admins.id</x:v>
      </x:c>
      <x:c r="H112" s="97" t="str">
        <x:v>Y</x:v>
      </x:c>
      <x:c r="I112" s="97" t="str">
        <x:v>N</x:v>
      </x:c>
      <x:c r="J112" s="97" t="str">
        <x:v>-</x:v>
      </x:c>
      <x:c r="K112" s="96" t="str">
        <x:v>-</x:v>
      </x:c>
      <x:c r="L112" s="96" t="str">
        <x:v>INDEX</x:v>
      </x:c>
      <x:c r="M112" s="96" t="str">
        <x:v>A-ADMIN</x:v>
      </x:c>
      <x:c r="N112" s="96" t="str">
        <x:v>-</x:v>
      </x:c>
      <x:c r="O112" s="94" t="str">
        <x:v>N</x:v>
      </x:c>
      <x:c r="P112" s="94" t="str">
        <x:v>OK</x:v>
      </x:c>
      <x:c r="Q112" s="95"/>
      <x:c r="R112" s="87" t="str">
        <x:v>SET NULL</x:v>
      </x:c>
    </x:row>
    <x:row r="113" ht="42" customHeight="1">
      <x:c r="A113" s="96" t="str">
        <x:v>admin_audit_logs</x:v>
      </x:c>
      <x:c r="B113" s="96" t="str">
        <x:v>action</x:v>
      </x:c>
      <x:c r="C113" s="96" t="str">
        <x:v>행위 코드</x:v>
      </x:c>
      <x:c r="D113" s="96" t="str">
        <x:v>varchar(50)</x:v>
      </x:c>
      <x:c r="E113" s="97" t="str">
        <x:v>N</x:v>
      </x:c>
      <x:c r="F113" s="97" t="str">
        <x:v>N</x:v>
      </x:c>
      <x:c r="G113" s="96" t="str">
        <x:v>-</x:v>
      </x:c>
      <x:c r="H113" s="97" t="str">
        <x:v>N</x:v>
      </x:c>
      <x:c r="I113" s="97" t="str">
        <x:v>N</x:v>
      </x:c>
      <x:c r="J113" s="97" t="str">
        <x:v>-</x:v>
      </x:c>
      <x:c r="K113" s="96" t="str">
        <x:v>grant/revoke/activate/deactivate</x:v>
      </x:c>
      <x:c r="L113" s="96" t="str">
        <x:v>INDEX</x:v>
      </x:c>
      <x:c r="M113" s="96" t="str">
        <x:v>A-ADMIN</x:v>
      </x:c>
      <x:c r="N113" s="96" t="str">
        <x:v>-</x:v>
      </x:c>
      <x:c r="O113" s="94" t="str">
        <x:v>N</x:v>
      </x:c>
      <x:c r="P113" s="94" t="str">
        <x:v>OK</x:v>
      </x:c>
      <x:c r="Q113" s="95"/>
      <x:c r="R113" s="87" t="str">
        <x:v>-</x:v>
      </x:c>
    </x:row>
    <x:row r="114" ht="42" customHeight="1">
      <x:c r="A114" s="96" t="str">
        <x:v>admin_audit_logs</x:v>
      </x:c>
      <x:c r="B114" s="96" t="str">
        <x:v>before_data</x:v>
      </x:c>
      <x:c r="C114" s="96" t="str">
        <x:v>변경 전</x:v>
      </x:c>
      <x:c r="D114" s="96" t="str">
        <x:v>jsonb</x:v>
      </x:c>
      <x:c r="E114" s="97" t="str">
        <x:v>N</x:v>
      </x:c>
      <x:c r="F114" s="97" t="str">
        <x:v>N</x:v>
      </x:c>
      <x:c r="G114" s="96" t="str">
        <x:v>-</x:v>
      </x:c>
      <x:c r="H114" s="97" t="str">
        <x:v>Y</x:v>
      </x:c>
      <x:c r="I114" s="97" t="str">
        <x:v>N</x:v>
      </x:c>
      <x:c r="J114" s="97" t="str">
        <x:v>-</x:v>
      </x:c>
      <x:c r="K114" s="96" t="str">
        <x:v>민감정보 제외</x:v>
      </x:c>
      <x:c r="L114" s="96" t="str">
        <x:v>-</x:v>
      </x:c>
      <x:c r="M114" s="96" t="str">
        <x:v>A-ADMIN</x:v>
      </x:c>
      <x:c r="N114" s="96" t="str">
        <x:v>-</x:v>
      </x:c>
      <x:c r="O114" s="94" t="str">
        <x:v>N</x:v>
      </x:c>
      <x:c r="P114" s="94" t="str">
        <x:v>OK</x:v>
      </x:c>
      <x:c r="Q114" s="95"/>
      <x:c r="R114" s="87" t="str">
        <x:v>-</x:v>
      </x:c>
    </x:row>
    <x:row r="115" ht="42" customHeight="1">
      <x:c r="A115" s="96" t="str">
        <x:v>admin_audit_logs</x:v>
      </x:c>
      <x:c r="B115" s="96" t="str">
        <x:v>after_data</x:v>
      </x:c>
      <x:c r="C115" s="96" t="str">
        <x:v>변경 후</x:v>
      </x:c>
      <x:c r="D115" s="96" t="str">
        <x:v>jsonb</x:v>
      </x:c>
      <x:c r="E115" s="97" t="str">
        <x:v>N</x:v>
      </x:c>
      <x:c r="F115" s="97" t="str">
        <x:v>N</x:v>
      </x:c>
      <x:c r="G115" s="96" t="str">
        <x:v>-</x:v>
      </x:c>
      <x:c r="H115" s="97" t="str">
        <x:v>Y</x:v>
      </x:c>
      <x:c r="I115" s="97" t="str">
        <x:v>N</x:v>
      </x:c>
      <x:c r="J115" s="97" t="str">
        <x:v>-</x:v>
      </x:c>
      <x:c r="K115" s="96" t="str">
        <x:v>민감정보 제외</x:v>
      </x:c>
      <x:c r="L115" s="96" t="str">
        <x:v>-</x:v>
      </x:c>
      <x:c r="M115" s="96" t="str">
        <x:v>A-ADMIN</x:v>
      </x:c>
      <x:c r="N115" s="96" t="str">
        <x:v>-</x:v>
      </x:c>
      <x:c r="O115" s="94" t="str">
        <x:v>N</x:v>
      </x:c>
      <x:c r="P115" s="94" t="str">
        <x:v>OK</x:v>
      </x:c>
      <x:c r="Q115" s="95"/>
      <x:c r="R115" s="87" t="str">
        <x:v>-</x:v>
      </x:c>
    </x:row>
    <x:row r="116" ht="42" customHeight="1">
      <x:c r="A116" s="91" t="str">
        <x:v>admin_audit_logs</x:v>
      </x:c>
      <x:c r="B116" s="92" t="str">
        <x:v>ip_address</x:v>
      </x:c>
      <x:c r="C116" s="92" t="str">
        <x:v>행위 IP</x:v>
      </x:c>
      <x:c r="D116" s="92" t="str">
        <x:v>inet</x:v>
      </x:c>
      <x:c r="E116" s="93" t="str">
        <x:v>N</x:v>
      </x:c>
      <x:c r="F116" s="93" t="str">
        <x:v>N</x:v>
      </x:c>
      <x:c r="G116" s="92" t="str">
        <x:v>-</x:v>
      </x:c>
      <x:c r="H116" s="93" t="str">
        <x:v>Y</x:v>
      </x:c>
      <x:c r="I116" s="93" t="str">
        <x:v>N</x:v>
      </x:c>
      <x:c r="J116" s="93" t="str">
        <x:v>-</x:v>
      </x:c>
      <x:c r="K116" s="92" t="str">
        <x:v>-</x:v>
      </x:c>
      <x:c r="L116" s="92" t="str">
        <x:v>-</x:v>
      </x:c>
      <x:c r="M116" s="92" t="str">
        <x:v>A-ADMIN</x:v>
      </x:c>
      <x:c r="N116" s="92" t="str">
        <x:v>-</x:v>
      </x:c>
      <x:c r="O116" s="94" t="str">
        <x:v>N</x:v>
      </x:c>
      <x:c r="P116" s="94" t="str">
        <x:v>권장 확인</x:v>
      </x:c>
      <x:c r="Q116" s="95" t="str">
        <x:v>관리자 감사 목적의 선택값; 보존기간 정책 필요</x:v>
      </x:c>
      <x:c r="R116" s="87" t="str">
        <x:v>-</x:v>
      </x:c>
    </x:row>
    <x:row r="117" ht="42" customHeight="1">
      <x:c r="A117" s="96" t="str">
        <x:v>admin_audit_logs</x:v>
      </x:c>
      <x:c r="B117" s="96" t="str">
        <x:v>created_at</x:v>
      </x:c>
      <x:c r="C117" s="96" t="str">
        <x:v>행위 일시</x:v>
      </x:c>
      <x:c r="D117" s="96" t="str">
        <x:v>timestamptz</x:v>
      </x:c>
      <x:c r="E117" s="97" t="str">
        <x:v>N</x:v>
      </x:c>
      <x:c r="F117" s="97" t="str">
        <x:v>N</x:v>
      </x:c>
      <x:c r="G117" s="96" t="str">
        <x:v>-</x:v>
      </x:c>
      <x:c r="H117" s="97" t="str">
        <x:v>N</x:v>
      </x:c>
      <x:c r="I117" s="97" t="str">
        <x:v>N</x:v>
      </x:c>
      <x:c r="J117" s="97" t="str">
        <x:v>now()</x:v>
      </x:c>
      <x:c r="K117" s="96" t="str">
        <x:v>-</x:v>
      </x:c>
      <x:c r="L117" s="96" t="str">
        <x:v>INDEX</x:v>
      </x:c>
      <x:c r="M117" s="96" t="str">
        <x:v>A-ADMIN</x:v>
      </x:c>
      <x:c r="N117" s="96" t="str">
        <x:v>-</x:v>
      </x:c>
      <x:c r="O117" s="94" t="str">
        <x:v>N</x:v>
      </x:c>
      <x:c r="P117" s="94" t="str">
        <x:v>OK</x:v>
      </x:c>
      <x:c r="Q117" s="95"/>
      <x:c r="R117" s="87" t="str">
        <x:v>-</x:v>
      </x:c>
    </x:row>
    <x:row r="118" ht="42" customHeight="1">
      <x:c r="A118" s="96" t="str">
        <x:v>data_update_logs</x:v>
      </x:c>
      <x:c r="B118" s="96" t="str">
        <x:v>id</x:v>
      </x:c>
      <x:c r="C118" s="96" t="str">
        <x:v>갱신 실행 PK</x:v>
      </x:c>
      <x:c r="D118" s="96" t="str">
        <x:v>uuid</x:v>
      </x:c>
      <x:c r="E118" s="97" t="str">
        <x:v>Y</x:v>
      </x:c>
      <x:c r="F118" s="97" t="str">
        <x:v>N</x:v>
      </x:c>
      <x:c r="G118" s="96" t="str">
        <x:v>-</x:v>
      </x:c>
      <x:c r="H118" s="97" t="str">
        <x:v>N</x:v>
      </x:c>
      <x:c r="I118" s="97" t="str">
        <x:v>N</x:v>
      </x:c>
      <x:c r="J118" s="97" t="str">
        <x:v>gen_random_uuid()</x:v>
      </x:c>
      <x:c r="K118" s="96" t="str">
        <x:v>-</x:v>
      </x:c>
      <x:c r="L118" s="96" t="str">
        <x:v>PK</x:v>
      </x:c>
      <x:c r="M118" s="96" t="str">
        <x:v>A-DATA/A-DASH</x:v>
      </x:c>
      <x:c r="N118" s="96" t="str">
        <x:v>-</x:v>
      </x:c>
      <x:c r="O118" s="94" t="str">
        <x:v>N</x:v>
      </x:c>
      <x:c r="P118" s="94" t="str">
        <x:v>수정 반영</x:v>
      </x:c>
      <x:c r="Q118" s="95" t="str">
        <x:v>PK 자체가 NOT NULL + UNIQUE를 보장하므로 별도 UNIQUE 플래그 제거</x:v>
      </x:c>
      <x:c r="R118" s="87" t="str">
        <x:v>-</x:v>
      </x:c>
    </x:row>
    <x:row r="119" ht="42" customHeight="1">
      <x:c r="A119" s="96" t="str">
        <x:v>data_update_logs</x:v>
      </x:c>
      <x:c r="B119" s="96" t="str">
        <x:v>dataset_type</x:v>
      </x:c>
      <x:c r="C119" s="96" t="str">
        <x:v>데이터 종류</x:v>
      </x:c>
      <x:c r="D119" s="96" t="str">
        <x:v>varchar(30)</x:v>
      </x:c>
      <x:c r="E119" s="97" t="str">
        <x:v>N</x:v>
      </x:c>
      <x:c r="F119" s="97" t="str">
        <x:v>N</x:v>
      </x:c>
      <x:c r="G119" s="96" t="str">
        <x:v>-</x:v>
      </x:c>
      <x:c r="H119" s="97" t="str">
        <x:v>N</x:v>
      </x:c>
      <x:c r="I119" s="97" t="str">
        <x:v>N</x:v>
      </x:c>
      <x:c r="J119" s="97" t="str">
        <x:v>-</x:v>
      </x:c>
      <x:c r="K119" s="96" t="str">
        <x:v>taas/standard_node_link</x:v>
      </x:c>
      <x:c r="L119" s="96" t="str">
        <x:v>INDEX</x:v>
      </x:c>
      <x:c r="M119" s="96" t="str">
        <x:v>A-DATA</x:v>
      </x:c>
      <x:c r="N119" s="96" t="str">
        <x:v>-</x:v>
      </x:c>
      <x:c r="O119" s="94" t="str">
        <x:v>N</x:v>
      </x:c>
      <x:c r="P119" s="94" t="str">
        <x:v>OK</x:v>
      </x:c>
      <x:c r="Q119" s="95"/>
      <x:c r="R119" s="87" t="str">
        <x:v>-</x:v>
      </x:c>
    </x:row>
    <x:row r="120" ht="42" customHeight="1">
      <x:c r="A120" s="96" t="str">
        <x:v>data_update_logs</x:v>
      </x:c>
      <x:c r="B120" s="96" t="str">
        <x:v>status</x:v>
      </x:c>
      <x:c r="C120" s="96" t="str">
        <x:v>실행 상태</x:v>
      </x:c>
      <x:c r="D120" s="96" t="str">
        <x:v>varchar(30)</x:v>
      </x:c>
      <x:c r="E120" s="97" t="str">
        <x:v>N</x:v>
      </x:c>
      <x:c r="F120" s="97" t="str">
        <x:v>N</x:v>
      </x:c>
      <x:c r="G120" s="96" t="str">
        <x:v>-</x:v>
      </x:c>
      <x:c r="H120" s="97" t="str">
        <x:v>N</x:v>
      </x:c>
      <x:c r="I120" s="97" t="str">
        <x:v>N</x:v>
      </x:c>
      <x:c r="J120" s="97" t="str">
        <x:v>'running'</x:v>
      </x:c>
      <x:c r="K120" s="96" t="str">
        <x:v>IN ('running','completed','partial_failed','failed')</x:v>
      </x:c>
      <x:c r="L120" s="96" t="str">
        <x:v>INDEX</x:v>
      </x:c>
      <x:c r="M120" s="96" t="str">
        <x:v>A-DATA</x:v>
      </x:c>
      <x:c r="N120" s="96" t="str">
        <x:v>-</x:v>
      </x:c>
      <x:c r="O120" s="94" t="str">
        <x:v>N</x:v>
      </x:c>
      <x:c r="P120" s="94" t="str">
        <x:v>수정 반영</x:v>
      </x:c>
      <x:c r="Q120" s="95" t="str">
        <x:v>상태 코드값 명시</x:v>
      </x:c>
      <x:c r="R120" s="87" t="str">
        <x:v>-</x:v>
      </x:c>
    </x:row>
    <x:row r="121" ht="42" customHeight="1">
      <x:c r="A121" s="96" t="str">
        <x:v>data_update_logs</x:v>
      </x:c>
      <x:c r="B121" s="96" t="str">
        <x:v>target_count</x:v>
      </x:c>
      <x:c r="C121" s="96" t="str">
        <x:v>읽은 대상 건수</x:v>
      </x:c>
      <x:c r="D121" s="96" t="str">
        <x:v>integer</x:v>
      </x:c>
      <x:c r="E121" s="97" t="str">
        <x:v>N</x:v>
      </x:c>
      <x:c r="F121" s="97" t="str">
        <x:v>N</x:v>
      </x:c>
      <x:c r="G121" s="96" t="str">
        <x:v>-</x:v>
      </x:c>
      <x:c r="H121" s="97" t="str">
        <x:v>N</x:v>
      </x:c>
      <x:c r="I121" s="97" t="str">
        <x:v>N</x:v>
      </x:c>
      <x:c r="J121" s="97" t="n">
        <x:v>0</x:v>
      </x:c>
      <x:c r="K121" s="96" t="str">
        <x:v>&gt;= 0</x:v>
      </x:c>
      <x:c r="L121" s="96" t="str">
        <x:v>-</x:v>
      </x:c>
      <x:c r="M121" s="96" t="str">
        <x:v>A-DATA</x:v>
      </x:c>
      <x:c r="N121" s="96" t="str">
        <x:v>-</x:v>
      </x:c>
      <x:c r="O121" s="94" t="str">
        <x:v>N</x:v>
      </x:c>
      <x:c r="P121" s="94" t="str">
        <x:v>수정 반영</x:v>
      </x:c>
      <x:c r="Q121" s="95" t="str">
        <x:v>음수 방지</x:v>
      </x:c>
      <x:c r="R121" s="87" t="str">
        <x:v>-</x:v>
      </x:c>
    </x:row>
    <x:row r="122" ht="42" customHeight="1">
      <x:c r="A122" s="91" t="str">
        <x:v>data_update_logs</x:v>
      </x:c>
      <x:c r="B122" s="92" t="str">
        <x:v>processed_count</x:v>
      </x:c>
      <x:c r="C122" s="92" t="str">
        <x:v>처리 건수</x:v>
      </x:c>
      <x:c r="D122" s="92" t="str">
        <x:v>integer</x:v>
      </x:c>
      <x:c r="E122" s="93" t="str">
        <x:v>N</x:v>
      </x:c>
      <x:c r="F122" s="93" t="str">
        <x:v>N</x:v>
      </x:c>
      <x:c r="G122" s="92" t="str">
        <x:v>-</x:v>
      </x:c>
      <x:c r="H122" s="93" t="str">
        <x:v>N</x:v>
      </x:c>
      <x:c r="I122" s="93" t="str">
        <x:v>N</x:v>
      </x:c>
      <x:c r="J122" s="93" t="n">
        <x:v>0</x:v>
      </x:c>
      <x:c r="K122" s="92" t="str">
        <x:v>&gt;= 0 AND processed_count = success_count + failure_count</x:v>
      </x:c>
      <x:c r="L122" s="92" t="str">
        <x:v>-</x:v>
      </x:c>
      <x:c r="M122" s="92" t="str">
        <x:v>A-DATA</x:v>
      </x:c>
      <x:c r="N122" s="92" t="str">
        <x:v>-</x:v>
      </x:c>
      <x:c r="O122" s="94" t="str">
        <x:v>N</x:v>
      </x:c>
      <x:c r="P122" s="94" t="str">
        <x:v>수정 반영</x:v>
      </x:c>
      <x:c r="Q122" s="95" t="str">
        <x:v>processed = success + failure 교차검증</x:v>
      </x:c>
      <x:c r="R122" s="87" t="str">
        <x:v>-</x:v>
      </x:c>
    </x:row>
    <x:row r="123" ht="42" customHeight="1">
      <x:c r="A123" s="96" t="str">
        <x:v>data_update_logs</x:v>
      </x:c>
      <x:c r="B123" s="96" t="str">
        <x:v>success_count</x:v>
      </x:c>
      <x:c r="C123" s="96" t="str">
        <x:v>성공 건수</x:v>
      </x:c>
      <x:c r="D123" s="96" t="str">
        <x:v>integer</x:v>
      </x:c>
      <x:c r="E123" s="97" t="str">
        <x:v>N</x:v>
      </x:c>
      <x:c r="F123" s="97" t="str">
        <x:v>N</x:v>
      </x:c>
      <x:c r="G123" s="96" t="str">
        <x:v>-</x:v>
      </x:c>
      <x:c r="H123" s="97" t="str">
        <x:v>N</x:v>
      </x:c>
      <x:c r="I123" s="97" t="str">
        <x:v>N</x:v>
      </x:c>
      <x:c r="J123" s="97" t="n">
        <x:v>0</x:v>
      </x:c>
      <x:c r="K123" s="96" t="str">
        <x:v>&gt;= 0</x:v>
      </x:c>
      <x:c r="L123" s="96" t="str">
        <x:v>-</x:v>
      </x:c>
      <x:c r="M123" s="96" t="str">
        <x:v>A-DATA</x:v>
      </x:c>
      <x:c r="N123" s="96" t="str">
        <x:v>-</x:v>
      </x:c>
      <x:c r="O123" s="94" t="str">
        <x:v>N</x:v>
      </x:c>
      <x:c r="P123" s="94" t="str">
        <x:v>수정 반영</x:v>
      </x:c>
      <x:c r="Q123" s="95" t="str">
        <x:v>음수 방지</x:v>
      </x:c>
      <x:c r="R123" s="87" t="str">
        <x:v>-</x:v>
      </x:c>
    </x:row>
    <x:row r="124" ht="42" customHeight="1">
      <x:c r="A124" s="96" t="str">
        <x:v>data_update_logs</x:v>
      </x:c>
      <x:c r="B124" s="96" t="str">
        <x:v>failure_count</x:v>
      </x:c>
      <x:c r="C124" s="96" t="str">
        <x:v>실패 건수</x:v>
      </x:c>
      <x:c r="D124" s="96" t="str">
        <x:v>integer</x:v>
      </x:c>
      <x:c r="E124" s="97" t="str">
        <x:v>N</x:v>
      </x:c>
      <x:c r="F124" s="97" t="str">
        <x:v>N</x:v>
      </x:c>
      <x:c r="G124" s="96" t="str">
        <x:v>-</x:v>
      </x:c>
      <x:c r="H124" s="97" t="str">
        <x:v>N</x:v>
      </x:c>
      <x:c r="I124" s="97" t="str">
        <x:v>N</x:v>
      </x:c>
      <x:c r="J124" s="97" t="n">
        <x:v>0</x:v>
      </x:c>
      <x:c r="K124" s="96" t="str">
        <x:v>&gt;= 0</x:v>
      </x:c>
      <x:c r="L124" s="96" t="str">
        <x:v>-</x:v>
      </x:c>
      <x:c r="M124" s="96" t="str">
        <x:v>A-DATA</x:v>
      </x:c>
      <x:c r="N124" s="96" t="str">
        <x:v>-</x:v>
      </x:c>
      <x:c r="O124" s="94" t="str">
        <x:v>N</x:v>
      </x:c>
      <x:c r="P124" s="94" t="str">
        <x:v>수정 반영</x:v>
      </x:c>
      <x:c r="Q124" s="95" t="str">
        <x:v>음수 방지</x:v>
      </x:c>
      <x:c r="R124" s="87" t="str">
        <x:v>-</x:v>
      </x:c>
    </x:row>
    <x:row r="125" ht="42" customHeight="1">
      <x:c r="A125" s="96" t="str">
        <x:v>data_update_logs</x:v>
      </x:c>
      <x:c r="B125" s="96" t="str">
        <x:v>source_version</x:v>
      </x:c>
      <x:c r="C125" s="96" t="str">
        <x:v>원천 버전/기준일</x:v>
      </x:c>
      <x:c r="D125" s="96" t="str">
        <x:v>varchar(100)</x:v>
      </x:c>
      <x:c r="E125" s="97" t="str">
        <x:v>N</x:v>
      </x:c>
      <x:c r="F125" s="97" t="str">
        <x:v>N</x:v>
      </x:c>
      <x:c r="G125" s="96" t="str">
        <x:v>-</x:v>
      </x:c>
      <x:c r="H125" s="97" t="str">
        <x:v>Y</x:v>
      </x:c>
      <x:c r="I125" s="97" t="str">
        <x:v>N</x:v>
      </x:c>
      <x:c r="J125" s="97" t="str">
        <x:v>-</x:v>
      </x:c>
      <x:c r="K125" s="96" t="str">
        <x:v>-</x:v>
      </x:c>
      <x:c r="L125" s="96" t="str">
        <x:v>INDEX</x:v>
      </x:c>
      <x:c r="M125" s="96" t="str">
        <x:v>A-DATA</x:v>
      </x:c>
      <x:c r="N125" s="96" t="str">
        <x:v>-</x:v>
      </x:c>
      <x:c r="O125" s="94" t="str">
        <x:v>N</x:v>
      </x:c>
      <x:c r="P125" s="94" t="str">
        <x:v>OK</x:v>
      </x:c>
      <x:c r="Q125" s="95"/>
      <x:c r="R125" s="87" t="str">
        <x:v>-</x:v>
      </x:c>
    </x:row>
    <x:row r="126" ht="42" customHeight="1">
      <x:c r="A126" s="96" t="str">
        <x:v>data_update_logs</x:v>
      </x:c>
      <x:c r="B126" s="96" t="str">
        <x:v>error_summary</x:v>
      </x:c>
      <x:c r="C126" s="96" t="str">
        <x:v>실패 요약</x:v>
      </x:c>
      <x:c r="D126" s="96" t="str">
        <x:v>text</x:v>
      </x:c>
      <x:c r="E126" s="97" t="str">
        <x:v>N</x:v>
      </x:c>
      <x:c r="F126" s="97" t="str">
        <x:v>N</x:v>
      </x:c>
      <x:c r="G126" s="96" t="str">
        <x:v>-</x:v>
      </x:c>
      <x:c r="H126" s="97" t="str">
        <x:v>Y</x:v>
      </x:c>
      <x:c r="I126" s="97" t="str">
        <x:v>N</x:v>
      </x:c>
      <x:c r="J126" s="97" t="str">
        <x:v>-</x:v>
      </x:c>
      <x:c r="K126" s="96" t="str">
        <x:v>민감정보 제외</x:v>
      </x:c>
      <x:c r="L126" s="96" t="str">
        <x:v>-</x:v>
      </x:c>
      <x:c r="M126" s="96" t="str">
        <x:v>A-DATA</x:v>
      </x:c>
      <x:c r="N126" s="96" t="str">
        <x:v>-</x:v>
      </x:c>
      <x:c r="O126" s="94" t="str">
        <x:v>N</x:v>
      </x:c>
      <x:c r="P126" s="94" t="str">
        <x:v>OK</x:v>
      </x:c>
      <x:c r="Q126" s="95"/>
      <x:c r="R126" s="87" t="str">
        <x:v>-</x:v>
      </x:c>
    </x:row>
    <x:row r="127" ht="42" customHeight="1">
      <x:c r="A127" s="96" t="str">
        <x:v>data_update_logs</x:v>
      </x:c>
      <x:c r="B127" s="96" t="str">
        <x:v>executed_by</x:v>
      </x:c>
      <x:c r="C127" s="96" t="str">
        <x:v>수동 실행 관리자 FK</x:v>
      </x:c>
      <x:c r="D127" s="96" t="str">
        <x:v>uuid</x:v>
      </x:c>
      <x:c r="E127" s="97" t="str">
        <x:v>N</x:v>
      </x:c>
      <x:c r="F127" s="97" t="str">
        <x:v>Y</x:v>
      </x:c>
      <x:c r="G127" s="96" t="str">
        <x:v>admins.id</x:v>
      </x:c>
      <x:c r="H127" s="97" t="str">
        <x:v>Y</x:v>
      </x:c>
      <x:c r="I127" s="97" t="str">
        <x:v>N</x:v>
      </x:c>
      <x:c r="J127" s="97" t="str">
        <x:v>-</x:v>
      </x:c>
      <x:c r="K127" s="96" t="str">
        <x:v>-</x:v>
      </x:c>
      <x:c r="L127" s="96" t="str">
        <x:v>INDEX</x:v>
      </x:c>
      <x:c r="M127" s="96" t="str">
        <x:v>A-DATA</x:v>
      </x:c>
      <x:c r="N127" s="96" t="str">
        <x:v>자동 ETL NULL</x:v>
      </x:c>
      <x:c r="O127" s="94" t="str">
        <x:v>N</x:v>
      </x:c>
      <x:c r="P127" s="94" t="str">
        <x:v>OK</x:v>
      </x:c>
      <x:c r="Q127" s="95"/>
      <x:c r="R127" s="87" t="str">
        <x:v>SET NULL</x:v>
      </x:c>
    </x:row>
    <x:row r="128" ht="42" customHeight="1">
      <x:c r="A128" s="96" t="str">
        <x:v>data_update_logs</x:v>
      </x:c>
      <x:c r="B128" s="96" t="str">
        <x:v>started_at</x:v>
      </x:c>
      <x:c r="C128" s="96" t="str">
        <x:v>시작일시</x:v>
      </x:c>
      <x:c r="D128" s="96" t="str">
        <x:v>timestamptz</x:v>
      </x:c>
      <x:c r="E128" s="97" t="str">
        <x:v>N</x:v>
      </x:c>
      <x:c r="F128" s="97" t="str">
        <x:v>N</x:v>
      </x:c>
      <x:c r="G128" s="96" t="str">
        <x:v>-</x:v>
      </x:c>
      <x:c r="H128" s="97" t="str">
        <x:v>N</x:v>
      </x:c>
      <x:c r="I128" s="97" t="str">
        <x:v>N</x:v>
      </x:c>
      <x:c r="J128" s="97" t="str">
        <x:v>now()</x:v>
      </x:c>
      <x:c r="K128" s="96" t="str">
        <x:v>-</x:v>
      </x:c>
      <x:c r="L128" s="96" t="str">
        <x:v>INDEX</x:v>
      </x:c>
      <x:c r="M128" s="96" t="str">
        <x:v>A-DATA</x:v>
      </x:c>
      <x:c r="N128" s="96" t="str">
        <x:v>-</x:v>
      </x:c>
      <x:c r="O128" s="94" t="str">
        <x:v>N</x:v>
      </x:c>
      <x:c r="P128" s="94" t="str">
        <x:v>OK</x:v>
      </x:c>
      <x:c r="Q128" s="95"/>
      <x:c r="R128" s="87" t="str">
        <x:v>-</x:v>
      </x:c>
    </x:row>
    <x:row r="129" ht="42" customHeight="1">
      <x:c r="A129" s="96" t="str">
        <x:v>data_update_logs</x:v>
      </x:c>
      <x:c r="B129" s="96" t="str">
        <x:v>finished_at</x:v>
      </x:c>
      <x:c r="C129" s="96" t="str">
        <x:v>완료일시</x:v>
      </x:c>
      <x:c r="D129" s="96" t="str">
        <x:v>timestamptz</x:v>
      </x:c>
      <x:c r="E129" s="97" t="str">
        <x:v>N</x:v>
      </x:c>
      <x:c r="F129" s="97" t="str">
        <x:v>N</x:v>
      </x:c>
      <x:c r="G129" s="96" t="str">
        <x:v>-</x:v>
      </x:c>
      <x:c r="H129" s="97" t="str">
        <x:v>Y</x:v>
      </x:c>
      <x:c r="I129" s="97" t="str">
        <x:v>N</x:v>
      </x:c>
      <x:c r="J129" s="97" t="str">
        <x:v>-</x:v>
      </x:c>
      <x:c r="K129" s="96" t="str">
        <x:v>-</x:v>
      </x:c>
      <x:c r="L129" s="96" t="str">
        <x:v>INDEX</x:v>
      </x:c>
      <x:c r="M129" s="96" t="str">
        <x:v>A-DASH/A-DATA</x:v>
      </x:c>
      <x:c r="N129" s="96" t="str">
        <x:v>최신 갱신일 기준</x:v>
      </x:c>
      <x:c r="O129" s="94" t="str">
        <x:v>N</x:v>
      </x:c>
      <x:c r="P129" s="94" t="str">
        <x:v>OK</x:v>
      </x:c>
      <x:c r="Q129" s="95"/>
      <x:c r="R129" s="87" t="str">
        <x:v>-</x:v>
      </x:c>
    </x:row>
    <x:row r="130" ht="42" customHeight="1">
      <x:c r="A130" s="91" t="str">
        <x:v>service_areas</x:v>
      </x:c>
      <x:c r="B130" s="92" t="str">
        <x:v>id</x:v>
      </x:c>
      <x:c r="C130" s="92" t="str">
        <x:v>서비스영역 PK</x:v>
      </x:c>
      <x:c r="D130" s="92" t="str">
        <x:v>bigint</x:v>
      </x:c>
      <x:c r="E130" s="93" t="str">
        <x:v>Y</x:v>
      </x:c>
      <x:c r="F130" s="93" t="str">
        <x:v>N</x:v>
      </x:c>
      <x:c r="G130" s="92" t="str">
        <x:v>-</x:v>
      </x:c>
      <x:c r="H130" s="93" t="str">
        <x:v>N</x:v>
      </x:c>
      <x:c r="I130" s="93" t="str">
        <x:v>N</x:v>
      </x:c>
      <x:c r="J130" s="93" t="str">
        <x:v>GENERATED BY DEFAULT AS IDENTITY</x:v>
      </x:c>
      <x:c r="K130" s="92" t="str">
        <x:v>-</x:v>
      </x:c>
      <x:c r="L130" s="92" t="str">
        <x:v>PK</x:v>
      </x:c>
      <x:c r="M130" s="92" t="str">
        <x:v>HOME/SRCH/ROUTE</x:v>
      </x:c>
      <x:c r="N130" s="92" t="str">
        <x:v>-</x:v>
      </x:c>
      <x:c r="O130" s="94" t="str">
        <x:v>N</x:v>
      </x:c>
      <x:c r="P130" s="94" t="str">
        <x:v>수정 반영</x:v>
      </x:c>
      <x:c r="Q130" s="95" t="str">
        <x:v>identity는 DEFAULT 값이 아니라 GENERATED BY DEFAULT AS IDENTITY 구문으로 생성</x:v>
      </x:c>
      <x:c r="R130" s="87" t="str">
        <x:v>-</x:v>
      </x:c>
    </x:row>
    <x:row r="131" ht="42" customHeight="1">
      <x:c r="A131" s="96" t="str">
        <x:v>service_areas</x:v>
      </x:c>
      <x:c r="B131" s="96" t="str">
        <x:v>area_code</x:v>
      </x:c>
      <x:c r="C131" s="96" t="str">
        <x:v>행정구역 코드</x:v>
      </x:c>
      <x:c r="D131" s="96" t="str">
        <x:v>varchar(20)</x:v>
      </x:c>
      <x:c r="E131" s="97" t="str">
        <x:v>N</x:v>
      </x:c>
      <x:c r="F131" s="97" t="str">
        <x:v>N</x:v>
      </x:c>
      <x:c r="G131" s="96" t="str">
        <x:v>-</x:v>
      </x:c>
      <x:c r="H131" s="97" t="str">
        <x:v>N</x:v>
      </x:c>
      <x:c r="I131" s="97" t="str">
        <x:v>Y</x:v>
      </x:c>
      <x:c r="J131" s="97" t="str">
        <x:v>-</x:v>
      </x:c>
      <x:c r="K131" s="96" t="str">
        <x:v>-</x:v>
      </x:c>
      <x:c r="L131" s="96" t="str">
        <x:v>UNIQUE</x:v>
      </x:c>
      <x:c r="M131" s="96" t="str">
        <x:v>-</x:v>
      </x:c>
      <x:c r="N131" s="96" t="str">
        <x:v>-</x:v>
      </x:c>
      <x:c r="O131" s="94" t="str">
        <x:v>N</x:v>
      </x:c>
      <x:c r="P131" s="94" t="str">
        <x:v>OK</x:v>
      </x:c>
      <x:c r="Q131" s="95"/>
      <x:c r="R131" s="87" t="str">
        <x:v>-</x:v>
      </x:c>
    </x:row>
    <x:row r="132" ht="42" customHeight="1">
      <x:c r="A132" s="96" t="str">
        <x:v>service_areas</x:v>
      </x:c>
      <x:c r="B132" s="96" t="str">
        <x:v>name</x:v>
      </x:c>
      <x:c r="C132" s="96" t="str">
        <x:v>영역명</x:v>
      </x:c>
      <x:c r="D132" s="96" t="str">
        <x:v>varchar(100)</x:v>
      </x:c>
      <x:c r="E132" s="97" t="str">
        <x:v>N</x:v>
      </x:c>
      <x:c r="F132" s="97" t="str">
        <x:v>N</x:v>
      </x:c>
      <x:c r="G132" s="96" t="str">
        <x:v>-</x:v>
      </x:c>
      <x:c r="H132" s="97" t="str">
        <x:v>N</x:v>
      </x:c>
      <x:c r="I132" s="97" t="str">
        <x:v>N</x:v>
      </x:c>
      <x:c r="J132" s="97" t="str">
        <x:v>-</x:v>
      </x:c>
      <x:c r="K132" s="96" t="str">
        <x:v>-</x:v>
      </x:c>
      <x:c r="L132" s="96" t="str">
        <x:v>INDEX</x:v>
      </x:c>
      <x:c r="M132" s="96" t="str">
        <x:v>HOME</x:v>
      </x:c>
      <x:c r="N132" s="96" t="str">
        <x:v>강남구</x:v>
      </x:c>
      <x:c r="O132" s="94" t="str">
        <x:v>N</x:v>
      </x:c>
      <x:c r="P132" s="94" t="str">
        <x:v>OK</x:v>
      </x:c>
      <x:c r="Q132" s="95"/>
      <x:c r="R132" s="87" t="str">
        <x:v>-</x:v>
      </x:c>
    </x:row>
    <x:row r="133" ht="42" customHeight="1">
      <x:c r="A133" s="96" t="str">
        <x:v>service_areas</x:v>
      </x:c>
      <x:c r="B133" s="96" t="str">
        <x:v>geom</x:v>
      </x:c>
      <x:c r="C133" s="96" t="str">
        <x:v>서비스영역</x:v>
      </x:c>
      <x:c r="D133" s="96" t="str">
        <x:v>geometry(MultiPolygon,4326)</x:v>
      </x:c>
      <x:c r="E133" s="97" t="str">
        <x:v>N</x:v>
      </x:c>
      <x:c r="F133" s="97" t="str">
        <x:v>N</x:v>
      </x:c>
      <x:c r="G133" s="96" t="str">
        <x:v>-</x:v>
      </x:c>
      <x:c r="H133" s="97" t="str">
        <x:v>N</x:v>
      </x:c>
      <x:c r="I133" s="97" t="str">
        <x:v>N</x:v>
      </x:c>
      <x:c r="J133" s="97" t="str">
        <x:v>-</x:v>
      </x:c>
      <x:c r="K133" s="96" t="str">
        <x:v>유효 geometry</x:v>
      </x:c>
      <x:c r="L133" s="96" t="str">
        <x:v>GIST</x:v>
      </x:c>
      <x:c r="M133" s="96" t="str">
        <x:v>SRCH/ROUTE</x:v>
      </x:c>
      <x:c r="N133" s="96" t="str">
        <x:v>ST_Covers 권장</x:v>
      </x:c>
      <x:c r="O133" s="94" t="str">
        <x:v>Y</x:v>
      </x:c>
      <x:c r="P133" s="94" t="str">
        <x:v>OK</x:v>
      </x:c>
      <x:c r="Q133" s="95" t="str">
        <x:v>PostGIS + GiST 확인</x:v>
      </x:c>
      <x:c r="R133" s="87" t="str">
        <x:v>-</x:v>
      </x:c>
    </x:row>
    <x:row r="134" ht="42" customHeight="1">
      <x:c r="A134" s="96" t="str">
        <x:v>service_areas</x:v>
      </x:c>
      <x:c r="B134" s="96" t="str">
        <x:v>is_active</x:v>
      </x:c>
      <x:c r="C134" s="96" t="str">
        <x:v>서비스 여부</x:v>
      </x:c>
      <x:c r="D134" s="96" t="str">
        <x:v>boolean</x:v>
      </x:c>
      <x:c r="E134" s="97" t="str">
        <x:v>N</x:v>
      </x:c>
      <x:c r="F134" s="97" t="str">
        <x:v>N</x:v>
      </x:c>
      <x:c r="G134" s="96" t="str">
        <x:v>-</x:v>
      </x:c>
      <x:c r="H134" s="97" t="str">
        <x:v>N</x:v>
      </x:c>
      <x:c r="I134" s="97" t="str">
        <x:v>N</x:v>
      </x:c>
      <x:c r="J134" s="100" t="b">
        <x:v>1</x:v>
      </x:c>
      <x:c r="K134" s="96" t="str">
        <x:v>-</x:v>
      </x:c>
      <x:c r="L134" s="96" t="str">
        <x:v>INDEX</x:v>
      </x:c>
      <x:c r="M134" s="96" t="str">
        <x:v>HOME/SRCH</x:v>
      </x:c>
      <x:c r="N134" s="96" t="str">
        <x:v>-</x:v>
      </x:c>
      <x:c r="O134" s="94" t="str">
        <x:v>N</x:v>
      </x:c>
      <x:c r="P134" s="94" t="str">
        <x:v>OK</x:v>
      </x:c>
      <x:c r="Q134" s="95"/>
      <x:c r="R134" s="87" t="str">
        <x:v>-</x:v>
      </x:c>
    </x:row>
    <x:row r="135" ht="42" customHeight="1">
      <x:c r="A135" s="96" t="str">
        <x:v>service_areas</x:v>
      </x:c>
      <x:c r="B135" s="96" t="str">
        <x:v>effective_from</x:v>
      </x:c>
      <x:c r="C135" s="96" t="str">
        <x:v>적용 시작일</x:v>
      </x:c>
      <x:c r="D135" s="96" t="str">
        <x:v>date</x:v>
      </x:c>
      <x:c r="E135" s="97" t="str">
        <x:v>N</x:v>
      </x:c>
      <x:c r="F135" s="97" t="str">
        <x:v>N</x:v>
      </x:c>
      <x:c r="G135" s="96" t="str">
        <x:v>-</x:v>
      </x:c>
      <x:c r="H135" s="97" t="str">
        <x:v>Y</x:v>
      </x:c>
      <x:c r="I135" s="97" t="str">
        <x:v>N</x:v>
      </x:c>
      <x:c r="J135" s="97" t="str">
        <x:v>-</x:v>
      </x:c>
      <x:c r="K135" s="96" t="str">
        <x:v>-</x:v>
      </x:c>
      <x:c r="L135" s="96" t="str">
        <x:v>-</x:v>
      </x:c>
      <x:c r="M135" s="96" t="str">
        <x:v>-</x:v>
      </x:c>
      <x:c r="N135" s="96" t="str">
        <x:v>선택</x:v>
      </x:c>
      <x:c r="O135" s="94" t="str">
        <x:v>N</x:v>
      </x:c>
      <x:c r="P135" s="94" t="str">
        <x:v>OK</x:v>
      </x:c>
      <x:c r="Q135" s="95"/>
      <x:c r="R135" s="87" t="str">
        <x:v>-</x:v>
      </x:c>
    </x:row>
    <x:row r="136" ht="42" customHeight="1">
      <x:c r="A136" s="96" t="str">
        <x:v>service_areas</x:v>
      </x:c>
      <x:c r="B136" s="96" t="str">
        <x:v>effective_to</x:v>
      </x:c>
      <x:c r="C136" s="96" t="str">
        <x:v>적용 종료일</x:v>
      </x:c>
      <x:c r="D136" s="96" t="str">
        <x:v>date</x:v>
      </x:c>
      <x:c r="E136" s="97" t="str">
        <x:v>N</x:v>
      </x:c>
      <x:c r="F136" s="97" t="str">
        <x:v>N</x:v>
      </x:c>
      <x:c r="G136" s="96" t="str">
        <x:v>-</x:v>
      </x:c>
      <x:c r="H136" s="97" t="str">
        <x:v>Y</x:v>
      </x:c>
      <x:c r="I136" s="97" t="str">
        <x:v>N</x:v>
      </x:c>
      <x:c r="J136" s="97" t="str">
        <x:v>-</x:v>
      </x:c>
      <x:c r="K136" s="96" t="str">
        <x:v>-</x:v>
      </x:c>
      <x:c r="L136" s="96" t="str">
        <x:v>-</x:v>
      </x:c>
      <x:c r="M136" s="96" t="str">
        <x:v>-</x:v>
      </x:c>
      <x:c r="N136" s="96" t="str">
        <x:v>선택</x:v>
      </x:c>
      <x:c r="O136" s="94" t="str">
        <x:v>N</x:v>
      </x:c>
      <x:c r="P136" s="94" t="str">
        <x:v>OK</x:v>
      </x:c>
      <x:c r="Q136" s="95"/>
      <x:c r="R136" s="87" t="str">
        <x:v>-</x:v>
      </x:c>
    </x:row>
    <x:row r="137" ht="42" customHeight="1">
      <x:c r="A137" s="96" t="str">
        <x:v>road_nodes</x:v>
      </x:c>
      <x:c r="B137" s="96" t="str">
        <x:v>id</x:v>
      </x:c>
      <x:c r="C137" s="96" t="str">
        <x:v>내부 PK</x:v>
      </x:c>
      <x:c r="D137" s="96" t="str">
        <x:v>bigint</x:v>
      </x:c>
      <x:c r="E137" s="97" t="str">
        <x:v>Y</x:v>
      </x:c>
      <x:c r="F137" s="97" t="str">
        <x:v>N</x:v>
      </x:c>
      <x:c r="G137" s="96" t="str">
        <x:v>-</x:v>
      </x:c>
      <x:c r="H137" s="97" t="str">
        <x:v>N</x:v>
      </x:c>
      <x:c r="I137" s="97" t="str">
        <x:v>N</x:v>
      </x:c>
      <x:c r="J137" s="97" t="str">
        <x:v>GENERATED BY DEFAULT AS IDENTITY</x:v>
      </x:c>
      <x:c r="K137" s="96" t="str">
        <x:v>-</x:v>
      </x:c>
      <x:c r="L137" s="96" t="str">
        <x:v>PK</x:v>
      </x:c>
      <x:c r="M137" s="96" t="str">
        <x:v>경로엔진</x:v>
      </x:c>
      <x:c r="N137" s="96" t="str">
        <x:v>-</x:v>
      </x:c>
      <x:c r="O137" s="94" t="str">
        <x:v>N</x:v>
      </x:c>
      <x:c r="P137" s="94" t="str">
        <x:v>수정 반영</x:v>
      </x:c>
      <x:c r="Q137" s="95" t="str">
        <x:v>identity는 DEFAULT 값이 아니라 GENERATED BY DEFAULT AS IDENTITY 구문으로 생성</x:v>
      </x:c>
      <x:c r="R137" s="87" t="str">
        <x:v>-</x:v>
      </x:c>
    </x:row>
    <x:row r="138" ht="42" customHeight="1">
      <x:c r="A138" s="96" t="str">
        <x:v>road_nodes</x:v>
      </x:c>
      <x:c r="B138" s="96" t="str">
        <x:v>node_id</x:v>
      </x:c>
      <x:c r="C138" s="96" t="str">
        <x:v>표준노드링크 원본 ID</x:v>
      </x:c>
      <x:c r="D138" s="96" t="str">
        <x:v>varchar(50)</x:v>
      </x:c>
      <x:c r="E138" s="97" t="str">
        <x:v>N</x:v>
      </x:c>
      <x:c r="F138" s="97" t="str">
        <x:v>N</x:v>
      </x:c>
      <x:c r="G138" s="96" t="str">
        <x:v>-</x:v>
      </x:c>
      <x:c r="H138" s="97" t="str">
        <x:v>N</x:v>
      </x:c>
      <x:c r="I138" s="97" t="str">
        <x:v>Y</x:v>
      </x:c>
      <x:c r="J138" s="97" t="str">
        <x:v>-</x:v>
      </x:c>
      <x:c r="K138" s="96" t="str">
        <x:v>-</x:v>
      </x:c>
      <x:c r="L138" s="96" t="str">
        <x:v>UNIQUE</x:v>
      </x:c>
      <x:c r="M138" s="96" t="str">
        <x:v>경로엔진</x:v>
      </x:c>
      <x:c r="N138" s="96" t="str">
        <x:v>-</x:v>
      </x:c>
      <x:c r="O138" s="94" t="str">
        <x:v>N</x:v>
      </x:c>
      <x:c r="P138" s="94" t="str">
        <x:v>OK</x:v>
      </x:c>
      <x:c r="Q138" s="95"/>
      <x:c r="R138" s="87" t="str">
        <x:v>-</x:v>
      </x:c>
    </x:row>
    <x:row r="139" ht="42" customHeight="1">
      <x:c r="A139" s="96" t="str">
        <x:v>road_nodes</x:v>
      </x:c>
      <x:c r="B139" s="96" t="str">
        <x:v>geom</x:v>
      </x:c>
      <x:c r="C139" s="96" t="str">
        <x:v>노드 좌표</x:v>
      </x:c>
      <x:c r="D139" s="96" t="str">
        <x:v>geometry(Point,4326)</x:v>
      </x:c>
      <x:c r="E139" s="97" t="str">
        <x:v>N</x:v>
      </x:c>
      <x:c r="F139" s="97" t="str">
        <x:v>N</x:v>
      </x:c>
      <x:c r="G139" s="96" t="str">
        <x:v>-</x:v>
      </x:c>
      <x:c r="H139" s="97" t="str">
        <x:v>N</x:v>
      </x:c>
      <x:c r="I139" s="97" t="str">
        <x:v>N</x:v>
      </x:c>
      <x:c r="J139" s="97" t="str">
        <x:v>-</x:v>
      </x:c>
      <x:c r="K139" s="96" t="str">
        <x:v>유효 geometry</x:v>
      </x:c>
      <x:c r="L139" s="96" t="str">
        <x:v>GIST</x:v>
      </x:c>
      <x:c r="M139" s="96" t="str">
        <x:v>경로엔진</x:v>
      </x:c>
      <x:c r="N139" s="96" t="str">
        <x:v>-</x:v>
      </x:c>
      <x:c r="O139" s="94" t="str">
        <x:v>Y</x:v>
      </x:c>
      <x:c r="P139" s="94" t="str">
        <x:v>OK</x:v>
      </x:c>
      <x:c r="Q139" s="95" t="str">
        <x:v>PostGIS + GiST 확인</x:v>
      </x:c>
      <x:c r="R139" s="87" t="str">
        <x:v>-</x:v>
      </x:c>
    </x:row>
    <x:row r="140" ht="42" customHeight="1">
      <x:c r="A140" s="96" t="str">
        <x:v>road_nodes</x:v>
      </x:c>
      <x:c r="B140" s="96" t="str">
        <x:v>node_type</x:v>
      </x:c>
      <x:c r="C140" s="96" t="str">
        <x:v>노드 유형</x:v>
      </x:c>
      <x:c r="D140" s="96" t="str">
        <x:v>varchar(30)</x:v>
      </x:c>
      <x:c r="E140" s="97" t="str">
        <x:v>N</x:v>
      </x:c>
      <x:c r="F140" s="97" t="str">
        <x:v>N</x:v>
      </x:c>
      <x:c r="G140" s="96" t="str">
        <x:v>-</x:v>
      </x:c>
      <x:c r="H140" s="97" t="str">
        <x:v>Y</x:v>
      </x:c>
      <x:c r="I140" s="97" t="str">
        <x:v>N</x:v>
      </x:c>
      <x:c r="J140" s="97" t="str">
        <x:v>-</x:v>
      </x:c>
      <x:c r="K140" s="96" t="str">
        <x:v>-</x:v>
      </x:c>
      <x:c r="L140" s="96" t="str">
        <x:v>INDEX</x:v>
      </x:c>
      <x:c r="M140" s="96" t="str">
        <x:v>경로엔진</x:v>
      </x:c>
      <x:c r="N140" s="96" t="str">
        <x:v>원천 코드</x:v>
      </x:c>
      <x:c r="O140" s="94" t="str">
        <x:v>N</x:v>
      </x:c>
      <x:c r="P140" s="94" t="str">
        <x:v>OK</x:v>
      </x:c>
      <x:c r="Q140" s="95"/>
      <x:c r="R140" s="87" t="str">
        <x:v>-</x:v>
      </x:c>
    </x:row>
    <x:row r="141" ht="42" customHeight="1">
      <x:c r="A141" s="96" t="str">
        <x:v>road_nodes</x:v>
      </x:c>
      <x:c r="B141" s="96" t="str">
        <x:v>is_intersection</x:v>
      </x:c>
      <x:c r="C141" s="96" t="str">
        <x:v>교차로 여부</x:v>
      </x:c>
      <x:c r="D141" s="96" t="str">
        <x:v>boolean</x:v>
      </x:c>
      <x:c r="E141" s="97" t="str">
        <x:v>N</x:v>
      </x:c>
      <x:c r="F141" s="97" t="str">
        <x:v>N</x:v>
      </x:c>
      <x:c r="G141" s="96" t="str">
        <x:v>-</x:v>
      </x:c>
      <x:c r="H141" s="97" t="str">
        <x:v>Y</x:v>
      </x:c>
      <x:c r="I141" s="97" t="str">
        <x:v>N</x:v>
      </x:c>
      <x:c r="J141" s="97" t="str">
        <x:v>-</x:v>
      </x:c>
      <x:c r="K141" s="96" t="str">
        <x:v>-</x:v>
      </x:c>
      <x:c r="L141" s="96" t="str">
        <x:v>INDEX</x:v>
      </x:c>
      <x:c r="M141" s="96" t="str">
        <x:v>경로엔진</x:v>
      </x:c>
      <x:c r="N141" s="96" t="str">
        <x:v>-</x:v>
      </x:c>
      <x:c r="O141" s="94" t="str">
        <x:v>N</x:v>
      </x:c>
      <x:c r="P141" s="94" t="str">
        <x:v>OK</x:v>
      </x:c>
      <x:c r="Q141" s="95"/>
      <x:c r="R141" s="87" t="str">
        <x:v>-</x:v>
      </x:c>
    </x:row>
    <x:row r="142" ht="42" customHeight="1">
      <x:c r="A142" s="91" t="str">
        <x:v>road_nodes</x:v>
      </x:c>
      <x:c r="B142" s="92" t="str">
        <x:v>source_updated_at</x:v>
      </x:c>
      <x:c r="C142" s="92" t="str">
        <x:v>원천 기준일</x:v>
      </x:c>
      <x:c r="D142" s="92" t="str">
        <x:v>timestamptz</x:v>
      </x:c>
      <x:c r="E142" s="93" t="str">
        <x:v>N</x:v>
      </x:c>
      <x:c r="F142" s="93" t="str">
        <x:v>N</x:v>
      </x:c>
      <x:c r="G142" s="92" t="str">
        <x:v>-</x:v>
      </x:c>
      <x:c r="H142" s="93" t="str">
        <x:v>Y</x:v>
      </x:c>
      <x:c r="I142" s="93" t="str">
        <x:v>N</x:v>
      </x:c>
      <x:c r="J142" s="93" t="str">
        <x:v>-</x:v>
      </x:c>
      <x:c r="K142" s="92" t="str">
        <x:v>-</x:v>
      </x:c>
      <x:c r="L142" s="92" t="str">
        <x:v>INDEX</x:v>
      </x:c>
      <x:c r="M142" s="92" t="str">
        <x:v>A-DATA</x:v>
      </x:c>
      <x:c r="N142" s="92" t="str">
        <x:v>-</x:v>
      </x:c>
      <x:c r="O142" s="94" t="str">
        <x:v>N</x:v>
      </x:c>
      <x:c r="P142" s="94" t="str">
        <x:v>OK</x:v>
      </x:c>
      <x:c r="Q142" s="95"/>
      <x:c r="R142" s="87" t="str">
        <x:v>-</x:v>
      </x:c>
    </x:row>
    <x:row r="143" ht="42" customHeight="1">
      <x:c r="A143" s="96" t="str">
        <x:v>road_links</x:v>
      </x:c>
      <x:c r="B143" s="96" t="str">
        <x:v>id</x:v>
      </x:c>
      <x:c r="C143" s="96" t="str">
        <x:v>내부 PK</x:v>
      </x:c>
      <x:c r="D143" s="96" t="str">
        <x:v>bigint</x:v>
      </x:c>
      <x:c r="E143" s="97" t="str">
        <x:v>Y</x:v>
      </x:c>
      <x:c r="F143" s="97" t="str">
        <x:v>N</x:v>
      </x:c>
      <x:c r="G143" s="96" t="str">
        <x:v>-</x:v>
      </x:c>
      <x:c r="H143" s="97" t="str">
        <x:v>N</x:v>
      </x:c>
      <x:c r="I143" s="97" t="str">
        <x:v>N</x:v>
      </x:c>
      <x:c r="J143" s="97" t="str">
        <x:v>GENERATED BY DEFAULT AS IDENTITY</x:v>
      </x:c>
      <x:c r="K143" s="96" t="str">
        <x:v>-</x:v>
      </x:c>
      <x:c r="L143" s="96" t="str">
        <x:v>PK</x:v>
      </x:c>
      <x:c r="M143" s="96" t="str">
        <x:v>경로엔진</x:v>
      </x:c>
      <x:c r="N143" s="96" t="str">
        <x:v>-</x:v>
      </x:c>
      <x:c r="O143" s="94" t="str">
        <x:v>N</x:v>
      </x:c>
      <x:c r="P143" s="94" t="str">
        <x:v>수정 반영</x:v>
      </x:c>
      <x:c r="Q143" s="95" t="str">
        <x:v>identity는 DEFAULT 값이 아니라 GENERATED BY DEFAULT AS IDENTITY 구문으로 생성</x:v>
      </x:c>
      <x:c r="R143" s="87" t="str">
        <x:v>-</x:v>
      </x:c>
    </x:row>
    <x:row r="144" ht="42" customHeight="1">
      <x:c r="A144" s="96" t="str">
        <x:v>road_links</x:v>
      </x:c>
      <x:c r="B144" s="96" t="str">
        <x:v>link_id</x:v>
      </x:c>
      <x:c r="C144" s="96" t="str">
        <x:v>표준노드링크 원본 ID</x:v>
      </x:c>
      <x:c r="D144" s="96" t="str">
        <x:v>varchar(50)</x:v>
      </x:c>
      <x:c r="E144" s="97" t="str">
        <x:v>N</x:v>
      </x:c>
      <x:c r="F144" s="97" t="str">
        <x:v>N</x:v>
      </x:c>
      <x:c r="G144" s="96" t="str">
        <x:v>-</x:v>
      </x:c>
      <x:c r="H144" s="97" t="str">
        <x:v>N</x:v>
      </x:c>
      <x:c r="I144" s="97" t="str">
        <x:v>Y</x:v>
      </x:c>
      <x:c r="J144" s="97" t="str">
        <x:v>-</x:v>
      </x:c>
      <x:c r="K144" s="96" t="str">
        <x:v>-</x:v>
      </x:c>
      <x:c r="L144" s="96" t="str">
        <x:v>UNIQUE</x:v>
      </x:c>
      <x:c r="M144" s="96" t="str">
        <x:v>경로엔진</x:v>
      </x:c>
      <x:c r="N144" s="96" t="str">
        <x:v>-</x:v>
      </x:c>
      <x:c r="O144" s="94" t="str">
        <x:v>N</x:v>
      </x:c>
      <x:c r="P144" s="94" t="str">
        <x:v>OK</x:v>
      </x:c>
      <x:c r="Q144" s="95"/>
      <x:c r="R144" s="87" t="str">
        <x:v>-</x:v>
      </x:c>
    </x:row>
    <x:row r="145" ht="42" customHeight="1">
      <x:c r="A145" s="96" t="str">
        <x:v>road_links</x:v>
      </x:c>
      <x:c r="B145" s="96" t="str">
        <x:v>from_node_id</x:v>
      </x:c>
      <x:c r="C145" s="96" t="str">
        <x:v>시작 노드 FK</x:v>
      </x:c>
      <x:c r="D145" s="96" t="str">
        <x:v>bigint</x:v>
      </x:c>
      <x:c r="E145" s="97" t="str">
        <x:v>N</x:v>
      </x:c>
      <x:c r="F145" s="97" t="str">
        <x:v>Y</x:v>
      </x:c>
      <x:c r="G145" s="96" t="str">
        <x:v>road_nodes.id</x:v>
      </x:c>
      <x:c r="H145" s="97" t="str">
        <x:v>N</x:v>
      </x:c>
      <x:c r="I145" s="97" t="str">
        <x:v>N</x:v>
      </x:c>
      <x:c r="J145" s="97" t="str">
        <x:v>-</x:v>
      </x:c>
      <x:c r="K145" s="96" t="str">
        <x:v>from&lt;&gt;to 권장</x:v>
      </x:c>
      <x:c r="L145" s="96" t="str">
        <x:v>INDEX</x:v>
      </x:c>
      <x:c r="M145" s="96" t="str">
        <x:v>경로엔진</x:v>
      </x:c>
      <x:c r="N145" s="96" t="str">
        <x:v>-</x:v>
      </x:c>
      <x:c r="O145" s="94" t="str">
        <x:v>N</x:v>
      </x:c>
      <x:c r="P145" s="94" t="str">
        <x:v>OK</x:v>
      </x:c>
      <x:c r="Q145" s="95"/>
      <x:c r="R145" s="87" t="str">
        <x:v>RESTRICT</x:v>
      </x:c>
    </x:row>
    <x:row r="146" ht="42" customHeight="1">
      <x:c r="A146" s="96" t="str">
        <x:v>road_links</x:v>
      </x:c>
      <x:c r="B146" s="96" t="str">
        <x:v>to_node_id</x:v>
      </x:c>
      <x:c r="C146" s="96" t="str">
        <x:v>종료 노드 FK</x:v>
      </x:c>
      <x:c r="D146" s="96" t="str">
        <x:v>bigint</x:v>
      </x:c>
      <x:c r="E146" s="97" t="str">
        <x:v>N</x:v>
      </x:c>
      <x:c r="F146" s="97" t="str">
        <x:v>Y</x:v>
      </x:c>
      <x:c r="G146" s="96" t="str">
        <x:v>road_nodes.id</x:v>
      </x:c>
      <x:c r="H146" s="97" t="str">
        <x:v>N</x:v>
      </x:c>
      <x:c r="I146" s="97" t="str">
        <x:v>N</x:v>
      </x:c>
      <x:c r="J146" s="97" t="str">
        <x:v>-</x:v>
      </x:c>
      <x:c r="K146" s="96" t="str">
        <x:v>from&lt;&gt;to 권장</x:v>
      </x:c>
      <x:c r="L146" s="96" t="str">
        <x:v>INDEX</x:v>
      </x:c>
      <x:c r="M146" s="96" t="str">
        <x:v>경로엔진</x:v>
      </x:c>
      <x:c r="N146" s="96" t="str">
        <x:v>-</x:v>
      </x:c>
      <x:c r="O146" s="94" t="str">
        <x:v>N</x:v>
      </x:c>
      <x:c r="P146" s="94" t="str">
        <x:v>OK</x:v>
      </x:c>
      <x:c r="Q146" s="95"/>
      <x:c r="R146" s="87" t="str">
        <x:v>RESTRICT</x:v>
      </x:c>
    </x:row>
    <x:row r="147" ht="42" customHeight="1">
      <x:c r="A147" s="96" t="str">
        <x:v>road_links</x:v>
      </x:c>
      <x:c r="B147" s="96" t="str">
        <x:v>geom</x:v>
      </x:c>
      <x:c r="C147" s="96" t="str">
        <x:v>도로 선형</x:v>
      </x:c>
      <x:c r="D147" s="96" t="str">
        <x:v>geometry(LineString,4326)</x:v>
      </x:c>
      <x:c r="E147" s="97" t="str">
        <x:v>N</x:v>
      </x:c>
      <x:c r="F147" s="97" t="str">
        <x:v>N</x:v>
      </x:c>
      <x:c r="G147" s="96" t="str">
        <x:v>-</x:v>
      </x:c>
      <x:c r="H147" s="97" t="str">
        <x:v>N</x:v>
      </x:c>
      <x:c r="I147" s="97" t="str">
        <x:v>N</x:v>
      </x:c>
      <x:c r="J147" s="97" t="str">
        <x:v>-</x:v>
      </x:c>
      <x:c r="K147" s="96" t="str">
        <x:v>유효 geometry</x:v>
      </x:c>
      <x:c r="L147" s="96" t="str">
        <x:v>GIST</x:v>
      </x:c>
      <x:c r="M147" s="96" t="str">
        <x:v>경로/NAVI</x:v>
      </x:c>
      <x:c r="N147" s="96" t="str">
        <x:v>-</x:v>
      </x:c>
      <x:c r="O147" s="94" t="str">
        <x:v>Y</x:v>
      </x:c>
      <x:c r="P147" s="94" t="str">
        <x:v>OK</x:v>
      </x:c>
      <x:c r="Q147" s="95" t="str">
        <x:v>PostGIS + GiST 확인</x:v>
      </x:c>
      <x:c r="R147" s="87" t="str">
        <x:v>-</x:v>
      </x:c>
    </x:row>
    <x:row r="148" ht="42" customHeight="1">
      <x:c r="A148" s="96" t="str">
        <x:v>road_links</x:v>
      </x:c>
      <x:c r="B148" s="96" t="str">
        <x:v>road_name</x:v>
      </x:c>
      <x:c r="C148" s="96" t="str">
        <x:v>도로명</x:v>
      </x:c>
      <x:c r="D148" s="96" t="str">
        <x:v>varchar(200)</x:v>
      </x:c>
      <x:c r="E148" s="97" t="str">
        <x:v>N</x:v>
      </x:c>
      <x:c r="F148" s="97" t="str">
        <x:v>N</x:v>
      </x:c>
      <x:c r="G148" s="96" t="str">
        <x:v>-</x:v>
      </x:c>
      <x:c r="H148" s="97" t="str">
        <x:v>Y</x:v>
      </x:c>
      <x:c r="I148" s="97" t="str">
        <x:v>N</x:v>
      </x:c>
      <x:c r="J148" s="97" t="str">
        <x:v>-</x:v>
      </x:c>
      <x:c r="K148" s="96" t="str">
        <x:v>-</x:v>
      </x:c>
      <x:c r="L148" s="96" t="str">
        <x:v>INDEX</x:v>
      </x:c>
      <x:c r="M148" s="96" t="str">
        <x:v>NAVI</x:v>
      </x:c>
      <x:c r="N148" s="96" t="str">
        <x:v>-</x:v>
      </x:c>
      <x:c r="O148" s="94" t="str">
        <x:v>N</x:v>
      </x:c>
      <x:c r="P148" s="94" t="str">
        <x:v>OK</x:v>
      </x:c>
      <x:c r="Q148" s="95"/>
      <x:c r="R148" s="87" t="str">
        <x:v>-</x:v>
      </x:c>
    </x:row>
    <x:row r="149" ht="42" customHeight="1">
      <x:c r="A149" s="91" t="str">
        <x:v>road_links</x:v>
      </x:c>
      <x:c r="B149" s="92" t="str">
        <x:v>road_class</x:v>
      </x:c>
      <x:c r="C149" s="92" t="str">
        <x:v>도로 등급</x:v>
      </x:c>
      <x:c r="D149" s="92" t="str">
        <x:v>varchar(30)</x:v>
      </x:c>
      <x:c r="E149" s="93" t="str">
        <x:v>N</x:v>
      </x:c>
      <x:c r="F149" s="93" t="str">
        <x:v>N</x:v>
      </x:c>
      <x:c r="G149" s="92" t="str">
        <x:v>-</x:v>
      </x:c>
      <x:c r="H149" s="93" t="str">
        <x:v>Y</x:v>
      </x:c>
      <x:c r="I149" s="93" t="str">
        <x:v>N</x:v>
      </x:c>
      <x:c r="J149" s="93" t="str">
        <x:v>-</x:v>
      </x:c>
      <x:c r="K149" s="92" t="str">
        <x:v>-</x:v>
      </x:c>
      <x:c r="L149" s="92" t="str">
        <x:v>INDEX</x:v>
      </x:c>
      <x:c r="M149" s="92" t="str">
        <x:v>경로엔진</x:v>
      </x:c>
      <x:c r="N149" s="92" t="str">
        <x:v>원천 코드</x:v>
      </x:c>
      <x:c r="O149" s="94" t="str">
        <x:v>N</x:v>
      </x:c>
      <x:c r="P149" s="94" t="str">
        <x:v>OK</x:v>
      </x:c>
      <x:c r="Q149" s="95"/>
      <x:c r="R149" s="87" t="str">
        <x:v>-</x:v>
      </x:c>
    </x:row>
    <x:row r="150" ht="42" customHeight="1">
      <x:c r="A150" s="96" t="str">
        <x:v>road_links</x:v>
      </x:c>
      <x:c r="B150" s="96" t="str">
        <x:v>lane_count</x:v>
      </x:c>
      <x:c r="C150" s="96" t="str">
        <x:v>차로 수</x:v>
      </x:c>
      <x:c r="D150" s="96" t="str">
        <x:v>smallint</x:v>
      </x:c>
      <x:c r="E150" s="97" t="str">
        <x:v>N</x:v>
      </x:c>
      <x:c r="F150" s="97" t="str">
        <x:v>N</x:v>
      </x:c>
      <x:c r="G150" s="96" t="str">
        <x:v>-</x:v>
      </x:c>
      <x:c r="H150" s="97" t="str">
        <x:v>Y</x:v>
      </x:c>
      <x:c r="I150" s="97" t="str">
        <x:v>N</x:v>
      </x:c>
      <x:c r="J150" s="97" t="str">
        <x:v>-</x:v>
      </x:c>
      <x:c r="K150" s="96" t="str">
        <x:v>&gt; 0</x:v>
      </x:c>
      <x:c r="L150" s="96" t="str">
        <x:v>-</x:v>
      </x:c>
      <x:c r="M150" s="96" t="str">
        <x:v>NAVI/경로엔진</x:v>
      </x:c>
      <x:c r="N150" s="96" t="str">
        <x:v>-</x:v>
      </x:c>
      <x:c r="O150" s="94" t="str">
        <x:v>N</x:v>
      </x:c>
      <x:c r="P150" s="94" t="str">
        <x:v>수정 반영</x:v>
      </x:c>
      <x:c r="Q150" s="95" t="str">
        <x:v>차로 수는 값이 있으면 1 이상</x:v>
      </x:c>
      <x:c r="R150" s="87" t="str">
        <x:v>-</x:v>
      </x:c>
    </x:row>
    <x:row r="151" ht="42" customHeight="1">
      <x:c r="A151" s="96" t="str">
        <x:v>road_links</x:v>
      </x:c>
      <x:c r="B151" s="96" t="str">
        <x:v>length_m</x:v>
      </x:c>
      <x:c r="C151" s="96" t="str">
        <x:v>링크 길이(m)</x:v>
      </x:c>
      <x:c r="D151" s="96" t="str">
        <x:v>numeric(10,2)</x:v>
      </x:c>
      <x:c r="E151" s="97" t="str">
        <x:v>N</x:v>
      </x:c>
      <x:c r="F151" s="97" t="str">
        <x:v>N</x:v>
      </x:c>
      <x:c r="G151" s="96" t="str">
        <x:v>-</x:v>
      </x:c>
      <x:c r="H151" s="97" t="str">
        <x:v>N</x:v>
      </x:c>
      <x:c r="I151" s="97" t="str">
        <x:v>N</x:v>
      </x:c>
      <x:c r="J151" s="97" t="str">
        <x:v>-</x:v>
      </x:c>
      <x:c r="K151" s="96" t="str">
        <x:v>0 이상</x:v>
      </x:c>
      <x:c r="L151" s="96" t="str">
        <x:v>-</x:v>
      </x:c>
      <x:c r="M151" s="96" t="str">
        <x:v>경로엔진</x:v>
      </x:c>
      <x:c r="N151" s="96" t="str">
        <x:v>-</x:v>
      </x:c>
      <x:c r="O151" s="94" t="str">
        <x:v>N</x:v>
      </x:c>
      <x:c r="P151" s="94" t="str">
        <x:v>OK</x:v>
      </x:c>
      <x:c r="Q151" s="95"/>
      <x:c r="R151" s="87" t="str">
        <x:v>-</x:v>
      </x:c>
    </x:row>
    <x:row r="152" ht="42" customHeight="1">
      <x:c r="A152" s="96" t="str">
        <x:v>road_links</x:v>
      </x:c>
      <x:c r="B152" s="96" t="str">
        <x:v>base_time_sec</x:v>
      </x:c>
      <x:c r="C152" s="96" t="str">
        <x:v>기본 소요시간(초)</x:v>
      </x:c>
      <x:c r="D152" s="96" t="str">
        <x:v>numeric(10,2)</x:v>
      </x:c>
      <x:c r="E152" s="97" t="str">
        <x:v>N</x:v>
      </x:c>
      <x:c r="F152" s="97" t="str">
        <x:v>N</x:v>
      </x:c>
      <x:c r="G152" s="96" t="str">
        <x:v>-</x:v>
      </x:c>
      <x:c r="H152" s="97" t="str">
        <x:v>Y</x:v>
      </x:c>
      <x:c r="I152" s="97" t="str">
        <x:v>N</x:v>
      </x:c>
      <x:c r="J152" s="97" t="str">
        <x:v>-</x:v>
      </x:c>
      <x:c r="K152" s="96" t="str">
        <x:v>0 이상</x:v>
      </x:c>
      <x:c r="L152" s="96" t="str">
        <x:v>-</x:v>
      </x:c>
      <x:c r="M152" s="96" t="str">
        <x:v>경로엔진</x:v>
      </x:c>
      <x:c r="N152" s="96" t="str">
        <x:v>-</x:v>
      </x:c>
      <x:c r="O152" s="94" t="str">
        <x:v>N</x:v>
      </x:c>
      <x:c r="P152" s="94" t="str">
        <x:v>OK</x:v>
      </x:c>
      <x:c r="Q152" s="95"/>
      <x:c r="R152" s="87" t="str">
        <x:v>-</x:v>
      </x:c>
    </x:row>
    <x:row r="153" ht="42" customHeight="1">
      <x:c r="A153" s="96" t="str">
        <x:v>road_links</x:v>
      </x:c>
      <x:c r="B153" s="96" t="str">
        <x:v>speed_limit_kph</x:v>
      </x:c>
      <x:c r="C153" s="96" t="str">
        <x:v>제한속도</x:v>
      </x:c>
      <x:c r="D153" s="96" t="str">
        <x:v>smallint</x:v>
      </x:c>
      <x:c r="E153" s="97" t="str">
        <x:v>N</x:v>
      </x:c>
      <x:c r="F153" s="97" t="str">
        <x:v>N</x:v>
      </x:c>
      <x:c r="G153" s="96" t="str">
        <x:v>-</x:v>
      </x:c>
      <x:c r="H153" s="97" t="str">
        <x:v>Y</x:v>
      </x:c>
      <x:c r="I153" s="97" t="str">
        <x:v>N</x:v>
      </x:c>
      <x:c r="J153" s="97" t="str">
        <x:v>-</x:v>
      </x:c>
      <x:c r="K153" s="96" t="str">
        <x:v>&gt; 0</x:v>
      </x:c>
      <x:c r="L153" s="96" t="str">
        <x:v>-</x:v>
      </x:c>
      <x:c r="M153" s="96" t="str">
        <x:v>경로엔진</x:v>
      </x:c>
      <x:c r="N153" s="96" t="str">
        <x:v>-</x:v>
      </x:c>
      <x:c r="O153" s="94" t="str">
        <x:v>N</x:v>
      </x:c>
      <x:c r="P153" s="94" t="str">
        <x:v>수정 반영</x:v>
      </x:c>
      <x:c r="Q153" s="95" t="str">
        <x:v>제한속도는 값이 있으면 양수</x:v>
      </x:c>
      <x:c r="R153" s="87" t="str">
        <x:v>-</x:v>
      </x:c>
    </x:row>
    <x:row r="154" ht="42" customHeight="1">
      <x:c r="A154" s="96" t="str">
        <x:v>road_links</x:v>
      </x:c>
      <x:c r="B154" s="96" t="str">
        <x:v>one_way</x:v>
      </x:c>
      <x:c r="C154" s="96" t="str">
        <x:v>일방통행 여부</x:v>
      </x:c>
      <x:c r="D154" s="96" t="str">
        <x:v>boolean</x:v>
      </x:c>
      <x:c r="E154" s="97" t="str">
        <x:v>N</x:v>
      </x:c>
      <x:c r="F154" s="97" t="str">
        <x:v>N</x:v>
      </x:c>
      <x:c r="G154" s="96" t="str">
        <x:v>-</x:v>
      </x:c>
      <x:c r="H154" s="97" t="str">
        <x:v>N</x:v>
      </x:c>
      <x:c r="I154" s="97" t="str">
        <x:v>N</x:v>
      </x:c>
      <x:c r="J154" s="100" t="b">
        <x:v>0</x:v>
      </x:c>
      <x:c r="K154" s="96" t="str">
        <x:v>-</x:v>
      </x:c>
      <x:c r="L154" s="96" t="str">
        <x:v>INDEX</x:v>
      </x:c>
      <x:c r="M154" s="96" t="str">
        <x:v>경로엔진</x:v>
      </x:c>
      <x:c r="N154" s="96" t="str">
        <x:v>-</x:v>
      </x:c>
      <x:c r="O154" s="94" t="str">
        <x:v>N</x:v>
      </x:c>
      <x:c r="P154" s="94" t="str">
        <x:v>OK</x:v>
      </x:c>
      <x:c r="Q154" s="95"/>
      <x:c r="R154" s="87" t="str">
        <x:v>-</x:v>
      </x:c>
    </x:row>
    <x:row r="155" ht="42" customHeight="1">
      <x:c r="A155" s="91" t="str">
        <x:v>road_links</x:v>
      </x:c>
      <x:c r="B155" s="92" t="str">
        <x:v>source_updated_at</x:v>
      </x:c>
      <x:c r="C155" s="92" t="str">
        <x:v>원천 기준일</x:v>
      </x:c>
      <x:c r="D155" s="92" t="str">
        <x:v>timestamptz</x:v>
      </x:c>
      <x:c r="E155" s="93" t="str">
        <x:v>N</x:v>
      </x:c>
      <x:c r="F155" s="93" t="str">
        <x:v>N</x:v>
      </x:c>
      <x:c r="G155" s="92" t="str">
        <x:v>-</x:v>
      </x:c>
      <x:c r="H155" s="93" t="str">
        <x:v>Y</x:v>
      </x:c>
      <x:c r="I155" s="93" t="str">
        <x:v>N</x:v>
      </x:c>
      <x:c r="J155" s="93" t="str">
        <x:v>-</x:v>
      </x:c>
      <x:c r="K155" s="92" t="str">
        <x:v>-</x:v>
      </x:c>
      <x:c r="L155" s="92" t="str">
        <x:v>INDEX</x:v>
      </x:c>
      <x:c r="M155" s="92" t="str">
        <x:v>A-DATA</x:v>
      </x:c>
      <x:c r="N155" s="92" t="str">
        <x:v>-</x:v>
      </x:c>
      <x:c r="O155" s="94" t="str">
        <x:v>N</x:v>
      </x:c>
      <x:c r="P155" s="94" t="str">
        <x:v>OK</x:v>
      </x:c>
      <x:c r="Q155" s="95"/>
      <x:c r="R155" s="87" t="str">
        <x:v>-</x:v>
      </x:c>
    </x:row>
    <x:row r="156" ht="42" customHeight="1">
      <x:c r="A156" s="96" t="str">
        <x:v>road_link_features</x:v>
      </x:c>
      <x:c r="B156" s="96" t="str">
        <x:v>road_link_id</x:v>
      </x:c>
      <x:c r="C156" s="96" t="str">
        <x:v>도로링크 PK/FK</x:v>
      </x:c>
      <x:c r="D156" s="96" t="str">
        <x:v>bigint</x:v>
      </x:c>
      <x:c r="E156" s="97" t="str">
        <x:v>Y</x:v>
      </x:c>
      <x:c r="F156" s="97" t="str">
        <x:v>Y</x:v>
      </x:c>
      <x:c r="G156" s="96" t="str">
        <x:v>road_links.id</x:v>
      </x:c>
      <x:c r="H156" s="97" t="str">
        <x:v>N</x:v>
      </x:c>
      <x:c r="I156" s="97" t="str">
        <x:v>N</x:v>
      </x:c>
      <x:c r="J156" s="97" t="str">
        <x:v>-</x:v>
      </x:c>
      <x:c r="K156" s="96" t="str">
        <x:v>-</x:v>
      </x:c>
      <x:c r="L156" s="96" t="str">
        <x:v>PK</x:v>
      </x:c>
      <x:c r="M156" s="96" t="str">
        <x:v>경로엔진</x:v>
      </x:c>
      <x:c r="N156" s="96" t="str">
        <x:v>-</x:v>
      </x:c>
      <x:c r="O156" s="94" t="str">
        <x:v>N</x:v>
      </x:c>
      <x:c r="P156" s="94" t="str">
        <x:v>수정 반영</x:v>
      </x:c>
      <x:c r="Q156" s="95" t="str">
        <x:v>PK 자체가 NOT NULL + UNIQUE를 보장하므로 별도 UNIQUE 플래그 제거</x:v>
      </x:c>
      <x:c r="R156" s="87" t="str">
        <x:v>CASCADE</x:v>
      </x:c>
    </x:row>
    <x:row r="157" ht="42" customHeight="1">
      <x:c r="A157" s="96" t="str">
        <x:v>road_link_features</x:v>
      </x:c>
      <x:c r="B157" s="96" t="str">
        <x:v>complex_intersection_score</x:v>
      </x:c>
      <x:c r="C157" s="96" t="str">
        <x:v>교차로 특징값</x:v>
      </x:c>
      <x:c r="D157" s="96" t="str">
        <x:v>numeric(8,4)</x:v>
      </x:c>
      <x:c r="E157" s="97" t="str">
        <x:v>N</x:v>
      </x:c>
      <x:c r="F157" s="97" t="str">
        <x:v>N</x:v>
      </x:c>
      <x:c r="G157" s="96" t="str">
        <x:v>-</x:v>
      </x:c>
      <x:c r="H157" s="97" t="str">
        <x:v>N</x:v>
      </x:c>
      <x:c r="I157" s="97" t="str">
        <x:v>N</x:v>
      </x:c>
      <x:c r="J157" s="97" t="n">
        <x:v>0</x:v>
      </x:c>
      <x:c r="K157" s="96" t="str">
        <x:v>0 이상</x:v>
      </x:c>
      <x:c r="L157" s="96" t="str">
        <x:v>-</x:v>
      </x:c>
      <x:c r="M157" s="96" t="str">
        <x:v>경로엔진</x:v>
      </x:c>
      <x:c r="N157" s="96" t="str">
        <x:v>설문1 대응</x:v>
      </x:c>
      <x:c r="O157" s="94" t="str">
        <x:v>N</x:v>
      </x:c>
      <x:c r="P157" s="94" t="str">
        <x:v>OK</x:v>
      </x:c>
      <x:c r="Q157" s="95"/>
      <x:c r="R157" s="87" t="str">
        <x:v>-</x:v>
      </x:c>
    </x:row>
    <x:row r="158" ht="42" customHeight="1">
      <x:c r="A158" s="96" t="str">
        <x:v>road_link_features</x:v>
      </x:c>
      <x:c r="B158" s="96" t="str">
        <x:v>pedestrian_zone_score</x:v>
      </x:c>
      <x:c r="C158" s="96" t="str">
        <x:v>보행자·보호구역 특징값</x:v>
      </x:c>
      <x:c r="D158" s="96" t="str">
        <x:v>numeric(8,4)</x:v>
      </x:c>
      <x:c r="E158" s="97" t="str">
        <x:v>N</x:v>
      </x:c>
      <x:c r="F158" s="97" t="str">
        <x:v>N</x:v>
      </x:c>
      <x:c r="G158" s="96" t="str">
        <x:v>-</x:v>
      </x:c>
      <x:c r="H158" s="97" t="str">
        <x:v>N</x:v>
      </x:c>
      <x:c r="I158" s="97" t="str">
        <x:v>N</x:v>
      </x:c>
      <x:c r="J158" s="97" t="n">
        <x:v>0</x:v>
      </x:c>
      <x:c r="K158" s="96" t="str">
        <x:v>0 이상</x:v>
      </x:c>
      <x:c r="L158" s="96" t="str">
        <x:v>-</x:v>
      </x:c>
      <x:c r="M158" s="96" t="str">
        <x:v>경로엔진</x:v>
      </x:c>
      <x:c r="N158" s="96" t="str">
        <x:v>설문2 대응</x:v>
      </x:c>
      <x:c r="O158" s="94" t="str">
        <x:v>N</x:v>
      </x:c>
      <x:c r="P158" s="94" t="str">
        <x:v>OK</x:v>
      </x:c>
      <x:c r="Q158" s="95"/>
      <x:c r="R158" s="87" t="str">
        <x:v>-</x:v>
      </x:c>
    </x:row>
    <x:row r="159" ht="42" customHeight="1">
      <x:c r="A159" s="96" t="str">
        <x:v>road_link_features</x:v>
      </x:c>
      <x:c r="B159" s="96" t="str">
        <x:v>narrow_road_score</x:v>
      </x:c>
      <x:c r="C159" s="96" t="str">
        <x:v>좁은도로 특징값</x:v>
      </x:c>
      <x:c r="D159" s="96" t="str">
        <x:v>numeric(8,4)</x:v>
      </x:c>
      <x:c r="E159" s="97" t="str">
        <x:v>N</x:v>
      </x:c>
      <x:c r="F159" s="97" t="str">
        <x:v>N</x:v>
      </x:c>
      <x:c r="G159" s="96" t="str">
        <x:v>-</x:v>
      </x:c>
      <x:c r="H159" s="97" t="str">
        <x:v>N</x:v>
      </x:c>
      <x:c r="I159" s="97" t="str">
        <x:v>N</x:v>
      </x:c>
      <x:c r="J159" s="97" t="n">
        <x:v>0</x:v>
      </x:c>
      <x:c r="K159" s="96" t="str">
        <x:v>0 이상</x:v>
      </x:c>
      <x:c r="L159" s="96" t="str">
        <x:v>-</x:v>
      </x:c>
      <x:c r="M159" s="96" t="str">
        <x:v>경로엔진</x:v>
      </x:c>
      <x:c r="N159" s="96" t="str">
        <x:v>설문3 대응</x:v>
      </x:c>
      <x:c r="O159" s="94" t="str">
        <x:v>N</x:v>
      </x:c>
      <x:c r="P159" s="94" t="str">
        <x:v>OK</x:v>
      </x:c>
      <x:c r="Q159" s="95"/>
      <x:c r="R159" s="87" t="str">
        <x:v>-</x:v>
      </x:c>
    </x:row>
    <x:row r="160" ht="42" customHeight="1">
      <x:c r="A160" s="96" t="str">
        <x:v>road_link_features</x:v>
      </x:c>
      <x:c r="B160" s="96" t="str">
        <x:v>turn_conflict_score</x:v>
      </x:c>
      <x:c r="C160" s="96" t="str">
        <x:v>좌회전·유턴 특징값</x:v>
      </x:c>
      <x:c r="D160" s="96" t="str">
        <x:v>numeric(8,4)</x:v>
      </x:c>
      <x:c r="E160" s="97" t="str">
        <x:v>N</x:v>
      </x:c>
      <x:c r="F160" s="97" t="str">
        <x:v>N</x:v>
      </x:c>
      <x:c r="G160" s="96" t="str">
        <x:v>-</x:v>
      </x:c>
      <x:c r="H160" s="97" t="str">
        <x:v>N</x:v>
      </x:c>
      <x:c r="I160" s="97" t="str">
        <x:v>N</x:v>
      </x:c>
      <x:c r="J160" s="97" t="n">
        <x:v>0</x:v>
      </x:c>
      <x:c r="K160" s="96" t="str">
        <x:v>0 이상</x:v>
      </x:c>
      <x:c r="L160" s="96" t="str">
        <x:v>-</x:v>
      </x:c>
      <x:c r="M160" s="96" t="str">
        <x:v>경로엔진</x:v>
      </x:c>
      <x:c r="N160" s="96" t="str">
        <x:v>설문4 대응</x:v>
      </x:c>
      <x:c r="O160" s="94" t="str">
        <x:v>N</x:v>
      </x:c>
      <x:c r="P160" s="94" t="str">
        <x:v>OK</x:v>
      </x:c>
      <x:c r="Q160" s="95"/>
      <x:c r="R160" s="87" t="str">
        <x:v>-</x:v>
      </x:c>
    </x:row>
    <x:row r="161" ht="42" customHeight="1">
      <x:c r="A161" s="96" t="str">
        <x:v>road_link_features</x:v>
      </x:c>
      <x:c r="B161" s="96" t="str">
        <x:v>structure_score</x:v>
      </x:c>
      <x:c r="C161" s="96" t="str">
        <x:v>터널·지하차도·교량 특징값</x:v>
      </x:c>
      <x:c r="D161" s="96" t="str">
        <x:v>numeric(8,4)</x:v>
      </x:c>
      <x:c r="E161" s="97" t="str">
        <x:v>N</x:v>
      </x:c>
      <x:c r="F161" s="97" t="str">
        <x:v>N</x:v>
      </x:c>
      <x:c r="G161" s="96" t="str">
        <x:v>-</x:v>
      </x:c>
      <x:c r="H161" s="97" t="str">
        <x:v>N</x:v>
      </x:c>
      <x:c r="I161" s="97" t="str">
        <x:v>N</x:v>
      </x:c>
      <x:c r="J161" s="97" t="n">
        <x:v>0</x:v>
      </x:c>
      <x:c r="K161" s="96" t="str">
        <x:v>0 이상</x:v>
      </x:c>
      <x:c r="L161" s="96" t="str">
        <x:v>-</x:v>
      </x:c>
      <x:c r="M161" s="96" t="str">
        <x:v>경로엔진</x:v>
      </x:c>
      <x:c r="N161" s="96" t="str">
        <x:v>설문5 대응</x:v>
      </x:c>
      <x:c r="O161" s="94" t="str">
        <x:v>N</x:v>
      </x:c>
      <x:c r="P161" s="94" t="str">
        <x:v>OK</x:v>
      </x:c>
      <x:c r="Q161" s="95"/>
      <x:c r="R161" s="87" t="str">
        <x:v>-</x:v>
      </x:c>
    </x:row>
    <x:row r="162" ht="42" customHeight="1">
      <x:c r="A162" s="96" t="str">
        <x:v>road_link_features</x:v>
      </x:c>
      <x:c r="B162" s="96" t="str">
        <x:v>accident_score</x:v>
      </x:c>
      <x:c r="C162" s="96" t="str">
        <x:v>TAAS 사고 특징값</x:v>
      </x:c>
      <x:c r="D162" s="96" t="str">
        <x:v>numeric(8,4)</x:v>
      </x:c>
      <x:c r="E162" s="97" t="str">
        <x:v>N</x:v>
      </x:c>
      <x:c r="F162" s="97" t="str">
        <x:v>N</x:v>
      </x:c>
      <x:c r="G162" s="96" t="str">
        <x:v>-</x:v>
      </x:c>
      <x:c r="H162" s="97" t="str">
        <x:v>N</x:v>
      </x:c>
      <x:c r="I162" s="97" t="str">
        <x:v>N</x:v>
      </x:c>
      <x:c r="J162" s="97" t="n">
        <x:v>0</x:v>
      </x:c>
      <x:c r="K162" s="96" t="str">
        <x:v>0 이상</x:v>
      </x:c>
      <x:c r="L162" s="96" t="str">
        <x:v>-</x:v>
      </x:c>
      <x:c r="M162" s="96" t="str">
        <x:v>경로엔진</x:v>
      </x:c>
      <x:c r="N162" s="96" t="str">
        <x:v>노출용 안심점수 아님</x:v>
      </x:c>
      <x:c r="O162" s="94" t="str">
        <x:v>N</x:v>
      </x:c>
      <x:c r="P162" s="94" t="str">
        <x:v>OK</x:v>
      </x:c>
      <x:c r="Q162" s="95"/>
      <x:c r="R162" s="87" t="str">
        <x:v>-</x:v>
      </x:c>
    </x:row>
    <x:row r="163" ht="42" customHeight="1">
      <x:c r="A163" s="96" t="str">
        <x:v>road_link_features</x:v>
      </x:c>
      <x:c r="B163" s="96" t="str">
        <x:v>feature_version</x:v>
      </x:c>
      <x:c r="C163" s="96" t="str">
        <x:v>전처리 버전</x:v>
      </x:c>
      <x:c r="D163" s="96" t="str">
        <x:v>varchar(50)</x:v>
      </x:c>
      <x:c r="E163" s="97" t="str">
        <x:v>N</x:v>
      </x:c>
      <x:c r="F163" s="97" t="str">
        <x:v>N</x:v>
      </x:c>
      <x:c r="G163" s="96" t="str">
        <x:v>-</x:v>
      </x:c>
      <x:c r="H163" s="97" t="str">
        <x:v>N</x:v>
      </x:c>
      <x:c r="I163" s="97" t="str">
        <x:v>N</x:v>
      </x:c>
      <x:c r="J163" s="97" t="str">
        <x:v>-</x:v>
      </x:c>
      <x:c r="K163" s="96" t="str">
        <x:v>-</x:v>
      </x:c>
      <x:c r="L163" s="96" t="str">
        <x:v>INDEX</x:v>
      </x:c>
      <x:c r="M163" s="96" t="str">
        <x:v>경로엔진/A-DATA</x:v>
      </x:c>
      <x:c r="N163" s="96" t="str">
        <x:v>-</x:v>
      </x:c>
      <x:c r="O163" s="94" t="str">
        <x:v>N</x:v>
      </x:c>
      <x:c r="P163" s="94" t="str">
        <x:v>OK</x:v>
      </x:c>
      <x:c r="Q163" s="95"/>
      <x:c r="R163" s="87" t="str">
        <x:v>-</x:v>
      </x:c>
    </x:row>
    <x:row r="164" ht="42" customHeight="1">
      <x:c r="A164" s="96" t="str">
        <x:v>road_link_features</x:v>
      </x:c>
      <x:c r="B164" s="96" t="str">
        <x:v>updated_at</x:v>
      </x:c>
      <x:c r="C164" s="96" t="str">
        <x:v>갱신일시</x:v>
      </x:c>
      <x:c r="D164" s="96" t="str">
        <x:v>timestamptz</x:v>
      </x:c>
      <x:c r="E164" s="97" t="str">
        <x:v>N</x:v>
      </x:c>
      <x:c r="F164" s="97" t="str">
        <x:v>N</x:v>
      </x:c>
      <x:c r="G164" s="96" t="str">
        <x:v>-</x:v>
      </x:c>
      <x:c r="H164" s="97" t="str">
        <x:v>N</x:v>
      </x:c>
      <x:c r="I164" s="97" t="str">
        <x:v>N</x:v>
      </x:c>
      <x:c r="J164" s="97" t="str">
        <x:v>now()</x:v>
      </x:c>
      <x:c r="K164" s="96" t="str">
        <x:v>-</x:v>
      </x:c>
      <x:c r="L164" s="96" t="str">
        <x:v>INDEX</x:v>
      </x:c>
      <x:c r="M164" s="96" t="str">
        <x:v>A-DATA</x:v>
      </x:c>
      <x:c r="N164" s="96" t="str">
        <x:v>-</x:v>
      </x:c>
      <x:c r="O164" s="94" t="str">
        <x:v>N</x:v>
      </x:c>
      <x:c r="P164" s="94" t="str">
        <x:v>OK</x:v>
      </x:c>
      <x:c r="Q164" s="95"/>
      <x:c r="R164" s="87" t="str">
        <x:v>-</x:v>
      </x:c>
    </x:row>
    <x:row r="165" ht="42" customHeight="1">
      <x:c r="A165" s="96" t="str">
        <x:v>traffic_accidents</x:v>
      </x:c>
      <x:c r="B165" s="96" t="str">
        <x:v>id</x:v>
      </x:c>
      <x:c r="C165" s="96" t="str">
        <x:v>사고 PK</x:v>
      </x:c>
      <x:c r="D165" s="96" t="str">
        <x:v>bigint</x:v>
      </x:c>
      <x:c r="E165" s="97" t="str">
        <x:v>Y</x:v>
      </x:c>
      <x:c r="F165" s="97" t="str">
        <x:v>N</x:v>
      </x:c>
      <x:c r="G165" s="96" t="str">
        <x:v>-</x:v>
      </x:c>
      <x:c r="H165" s="97" t="str">
        <x:v>N</x:v>
      </x:c>
      <x:c r="I165" s="97" t="str">
        <x:v>N</x:v>
      </x:c>
      <x:c r="J165" s="97" t="str">
        <x:v>GENERATED BY DEFAULT AS IDENTITY</x:v>
      </x:c>
      <x:c r="K165" s="96" t="str">
        <x:v>-</x:v>
      </x:c>
      <x:c r="L165" s="96" t="str">
        <x:v>PK</x:v>
      </x:c>
      <x:c r="M165" s="96" t="str">
        <x:v>경로엔진</x:v>
      </x:c>
      <x:c r="N165" s="96" t="str">
        <x:v>-</x:v>
      </x:c>
      <x:c r="O165" s="94" t="str">
        <x:v>N</x:v>
      </x:c>
      <x:c r="P165" s="94" t="str">
        <x:v>수정 반영</x:v>
      </x:c>
      <x:c r="Q165" s="95" t="str">
        <x:v>identity는 DEFAULT 값이 아니라 GENERATED BY DEFAULT AS IDENTITY 구문으로 생성</x:v>
      </x:c>
      <x:c r="R165" s="87" t="str">
        <x:v>-</x:v>
      </x:c>
    </x:row>
    <x:row r="166" ht="42" customHeight="1">
      <x:c r="A166" s="96" t="str">
        <x:v>traffic_accidents</x:v>
      </x:c>
      <x:c r="B166" s="96" t="str">
        <x:v>taas_accident_id</x:v>
      </x:c>
      <x:c r="C166" s="96" t="str">
        <x:v>TAAS 원본 ID</x:v>
      </x:c>
      <x:c r="D166" s="96" t="str">
        <x:v>varchar(100)</x:v>
      </x:c>
      <x:c r="E166" s="97" t="str">
        <x:v>N</x:v>
      </x:c>
      <x:c r="F166" s="97" t="str">
        <x:v>N</x:v>
      </x:c>
      <x:c r="G166" s="96" t="str">
        <x:v>-</x:v>
      </x:c>
      <x:c r="H166" s="97" t="str">
        <x:v>N</x:v>
      </x:c>
      <x:c r="I166" s="97" t="str">
        <x:v>Y</x:v>
      </x:c>
      <x:c r="J166" s="97" t="str">
        <x:v>-</x:v>
      </x:c>
      <x:c r="K166" s="96" t="str">
        <x:v>-</x:v>
      </x:c>
      <x:c r="L166" s="96" t="str">
        <x:v>UNIQUE</x:v>
      </x:c>
      <x:c r="M166" s="96" t="str">
        <x:v>A-DATA</x:v>
      </x:c>
      <x:c r="N166" s="96" t="str">
        <x:v>-</x:v>
      </x:c>
      <x:c r="O166" s="94" t="str">
        <x:v>N</x:v>
      </x:c>
      <x:c r="P166" s="94" t="str">
        <x:v>확인 필요</x:v>
      </x:c>
      <x:c r="Q166" s="95" t="str">
        <x:v>TAAS 실제 원본에 안정적인 고유 ID가 있는지 데이터팀 확인</x:v>
      </x:c>
      <x:c r="R166" s="87" t="str">
        <x:v>-</x:v>
      </x:c>
    </x:row>
    <x:row r="167" ht="42" customHeight="1">
      <x:c r="A167" s="96" t="str">
        <x:v>traffic_accidents</x:v>
      </x:c>
      <x:c r="B167" s="96" t="str">
        <x:v>occurred_at</x:v>
      </x:c>
      <x:c r="C167" s="96" t="str">
        <x:v>사고 발생일시</x:v>
      </x:c>
      <x:c r="D167" s="96" t="str">
        <x:v>timestamptz</x:v>
      </x:c>
      <x:c r="E167" s="97" t="str">
        <x:v>N</x:v>
      </x:c>
      <x:c r="F167" s="97" t="str">
        <x:v>N</x:v>
      </x:c>
      <x:c r="G167" s="96" t="str">
        <x:v>-</x:v>
      </x:c>
      <x:c r="H167" s="97" t="str">
        <x:v>Y</x:v>
      </x:c>
      <x:c r="I167" s="97" t="str">
        <x:v>N</x:v>
      </x:c>
      <x:c r="J167" s="97" t="str">
        <x:v>-</x:v>
      </x:c>
      <x:c r="K167" s="96" t="str">
        <x:v>-</x:v>
      </x:c>
      <x:c r="L167" s="96" t="str">
        <x:v>INDEX</x:v>
      </x:c>
      <x:c r="M167" s="96" t="str">
        <x:v>경로엔진</x:v>
      </x:c>
      <x:c r="N167" s="96" t="str">
        <x:v>원천 정밀도에 맞춤</x:v>
      </x:c>
      <x:c r="O167" s="94" t="str">
        <x:v>N</x:v>
      </x:c>
      <x:c r="P167" s="94" t="str">
        <x:v>확인 필요</x:v>
      </x:c>
      <x:c r="Q167" s="95" t="str">
        <x:v>TAAS 사고다발 데이터가 개별 사고가 아니면 occurred_at 구조 재검토</x:v>
      </x:c>
      <x:c r="R167" s="87" t="str">
        <x:v>-</x:v>
      </x:c>
    </x:row>
    <x:row r="168" ht="42" customHeight="1">
      <x:c r="A168" s="91" t="str">
        <x:v>traffic_accidents</x:v>
      </x:c>
      <x:c r="B168" s="92" t="str">
        <x:v>geom</x:v>
      </x:c>
      <x:c r="C168" s="92" t="str">
        <x:v>사고 위치</x:v>
      </x:c>
      <x:c r="D168" s="92" t="str">
        <x:v>geometry(Point,4326)</x:v>
      </x:c>
      <x:c r="E168" s="93" t="str">
        <x:v>N</x:v>
      </x:c>
      <x:c r="F168" s="93" t="str">
        <x:v>N</x:v>
      </x:c>
      <x:c r="G168" s="92" t="str">
        <x:v>-</x:v>
      </x:c>
      <x:c r="H168" s="93" t="str">
        <x:v>N</x:v>
      </x:c>
      <x:c r="I168" s="93" t="str">
        <x:v>N</x:v>
      </x:c>
      <x:c r="J168" s="93" t="str">
        <x:v>-</x:v>
      </x:c>
      <x:c r="K168" s="92" t="str">
        <x:v>유효 geometry</x:v>
      </x:c>
      <x:c r="L168" s="92" t="str">
        <x:v>GIST</x:v>
      </x:c>
      <x:c r="M168" s="92" t="str">
        <x:v>경로엔진</x:v>
      </x:c>
      <x:c r="N168" s="92" t="str">
        <x:v>TAAS 원본 Point 확정</x:v>
      </x:c>
      <x:c r="O168" s="94" t="str">
        <x:v>Y</x:v>
      </x:c>
      <x:c r="P168" s="94" t="str">
        <x:v>확정</x:v>
      </x:c>
      <x:c r="Q168" s="95" t="str">
        <x:v>TAAS 원본 공간형식 Point 확정 → geometry(Point,4326) + GiST</x:v>
      </x:c>
      <x:c r="R168" s="87" t="str">
        <x:v>-</x:v>
      </x:c>
    </x:row>
    <x:row r="169" ht="42" customHeight="1">
      <x:c r="A169" s="96" t="str">
        <x:v>traffic_accidents</x:v>
      </x:c>
      <x:c r="B169" s="96" t="str">
        <x:v>accident_type</x:v>
      </x:c>
      <x:c r="C169" s="96" t="str">
        <x:v>사고 유형</x:v>
      </x:c>
      <x:c r="D169" s="96" t="str">
        <x:v>varchar(100)</x:v>
      </x:c>
      <x:c r="E169" s="97" t="str">
        <x:v>N</x:v>
      </x:c>
      <x:c r="F169" s="97" t="str">
        <x:v>N</x:v>
      </x:c>
      <x:c r="G169" s="96" t="str">
        <x:v>-</x:v>
      </x:c>
      <x:c r="H169" s="97" t="str">
        <x:v>Y</x:v>
      </x:c>
      <x:c r="I169" s="97" t="str">
        <x:v>N</x:v>
      </x:c>
      <x:c r="J169" s="97" t="str">
        <x:v>-</x:v>
      </x:c>
      <x:c r="K169" s="96" t="str">
        <x:v>-</x:v>
      </x:c>
      <x:c r="L169" s="96" t="str">
        <x:v>INDEX</x:v>
      </x:c>
      <x:c r="M169" s="96" t="str">
        <x:v>경로엔진</x:v>
      </x:c>
      <x:c r="N169" s="96" t="str">
        <x:v>-</x:v>
      </x:c>
      <x:c r="O169" s="94" t="str">
        <x:v>N</x:v>
      </x:c>
      <x:c r="P169" s="94" t="str">
        <x:v>확인 필요</x:v>
      </x:c>
      <x:c r="Q169" s="95" t="str">
        <x:v>실제 TAAS 필드명/코드와 매핑 확인</x:v>
      </x:c>
      <x:c r="R169" s="87" t="str">
        <x:v>-</x:v>
      </x:c>
    </x:row>
    <x:row r="170" ht="42" customHeight="1">
      <x:c r="A170" s="96" t="str">
        <x:v>traffic_accidents</x:v>
      </x:c>
      <x:c r="B170" s="96" t="str">
        <x:v>severity</x:v>
      </x:c>
      <x:c r="C170" s="96" t="str">
        <x:v>사고 심각도</x:v>
      </x:c>
      <x:c r="D170" s="96" t="str">
        <x:v>varchar(50)</x:v>
      </x:c>
      <x:c r="E170" s="97" t="str">
        <x:v>N</x:v>
      </x:c>
      <x:c r="F170" s="97" t="str">
        <x:v>N</x:v>
      </x:c>
      <x:c r="G170" s="96" t="str">
        <x:v>-</x:v>
      </x:c>
      <x:c r="H170" s="97" t="str">
        <x:v>Y</x:v>
      </x:c>
      <x:c r="I170" s="97" t="str">
        <x:v>N</x:v>
      </x:c>
      <x:c r="J170" s="97" t="str">
        <x:v>-</x:v>
      </x:c>
      <x:c r="K170" s="96" t="str">
        <x:v>-</x:v>
      </x:c>
      <x:c r="L170" s="96" t="str">
        <x:v>INDEX</x:v>
      </x:c>
      <x:c r="M170" s="96" t="str">
        <x:v>경로엔진</x:v>
      </x:c>
      <x:c r="N170" s="96" t="str">
        <x:v>-</x:v>
      </x:c>
      <x:c r="O170" s="94" t="str">
        <x:v>N</x:v>
      </x:c>
      <x:c r="P170" s="94" t="str">
        <x:v>확인 필요</x:v>
      </x:c>
      <x:c r="Q170" s="95" t="str">
        <x:v>실제 TAAS 원본에 severity가 있는지 확인</x:v>
      </x:c>
      <x:c r="R170" s="87" t="str">
        <x:v>-</x:v>
      </x:c>
    </x:row>
    <x:row r="171" ht="42" customHeight="1">
      <x:c r="A171" s="96" t="str">
        <x:v>traffic_accidents</x:v>
      </x:c>
      <x:c r="B171" s="96" t="str">
        <x:v>accident_count</x:v>
      </x:c>
      <x:c r="C171" s="96" t="str">
        <x:v>집계 사고 건수</x:v>
      </x:c>
      <x:c r="D171" s="96" t="str">
        <x:v>integer</x:v>
      </x:c>
      <x:c r="E171" s="97" t="str">
        <x:v>N</x:v>
      </x:c>
      <x:c r="F171" s="97" t="str">
        <x:v>N</x:v>
      </x:c>
      <x:c r="G171" s="96" t="str">
        <x:v>-</x:v>
      </x:c>
      <x:c r="H171" s="97" t="str">
        <x:v>N</x:v>
      </x:c>
      <x:c r="I171" s="97" t="str">
        <x:v>N</x:v>
      </x:c>
      <x:c r="J171" s="97" t="n">
        <x:v>1</x:v>
      </x:c>
      <x:c r="K171" s="96" t="str">
        <x:v>1 이상</x:v>
      </x:c>
      <x:c r="L171" s="96" t="str">
        <x:v>-</x:v>
      </x:c>
      <x:c r="M171" s="96" t="str">
        <x:v>경로엔진</x:v>
      </x:c>
      <x:c r="N171" s="96" t="str">
        <x:v>집계 데이터일 때</x:v>
      </x:c>
      <x:c r="O171" s="94" t="str">
        <x:v>N</x:v>
      </x:c>
      <x:c r="P171" s="94" t="str">
        <x:v>확인 필요</x:v>
      </x:c>
      <x:c r="Q171" s="95" t="str">
        <x:v>사고다발 집계 데이터라면 필수 의미가 맞음; 개별사고라면 불필요</x:v>
      </x:c>
      <x:c r="R171" s="87" t="str">
        <x:v>-</x:v>
      </x:c>
    </x:row>
    <x:row r="172" ht="42" customHeight="1">
      <x:c r="A172" s="96" t="str">
        <x:v>traffic_accidents</x:v>
      </x:c>
      <x:c r="B172" s="96" t="str">
        <x:v>matched_road_link_id</x:v>
      </x:c>
      <x:c r="C172" s="96" t="str">
        <x:v>매칭 도로링크 FK</x:v>
      </x:c>
      <x:c r="D172" s="96" t="str">
        <x:v>bigint</x:v>
      </x:c>
      <x:c r="E172" s="97" t="str">
        <x:v>N</x:v>
      </x:c>
      <x:c r="F172" s="97" t="str">
        <x:v>Y</x:v>
      </x:c>
      <x:c r="G172" s="96" t="str">
        <x:v>road_links.id</x:v>
      </x:c>
      <x:c r="H172" s="97" t="str">
        <x:v>Y</x:v>
      </x:c>
      <x:c r="I172" s="97" t="str">
        <x:v>N</x:v>
      </x:c>
      <x:c r="J172" s="97" t="str">
        <x:v>-</x:v>
      </x:c>
      <x:c r="K172" s="96" t="str">
        <x:v>-</x:v>
      </x:c>
      <x:c r="L172" s="96" t="str">
        <x:v>INDEX</x:v>
      </x:c>
      <x:c r="M172" s="96" t="str">
        <x:v>경로엔진</x:v>
      </x:c>
      <x:c r="N172" s="96" t="str">
        <x:v>공간매칭 결과</x:v>
      </x:c>
      <x:c r="O172" s="94" t="str">
        <x:v>N</x:v>
      </x:c>
      <x:c r="P172" s="94" t="str">
        <x:v>OK</x:v>
      </x:c>
      <x:c r="Q172" s="95"/>
      <x:c r="R172" s="87" t="str">
        <x:v>SET NULL</x:v>
      </x:c>
    </x:row>
    <x:row r="173" ht="42" customHeight="1">
      <x:c r="A173" s="96" t="str">
        <x:v>traffic_accidents</x:v>
      </x:c>
      <x:c r="B173" s="96" t="str">
        <x:v>match_confidence</x:v>
      </x:c>
      <x:c r="C173" s="96" t="str">
        <x:v>매칭 신뢰도</x:v>
      </x:c>
      <x:c r="D173" s="96" t="str">
        <x:v>numeric(5,4)</x:v>
      </x:c>
      <x:c r="E173" s="97" t="str">
        <x:v>N</x:v>
      </x:c>
      <x:c r="F173" s="97" t="str">
        <x:v>N</x:v>
      </x:c>
      <x:c r="G173" s="96" t="str">
        <x:v>-</x:v>
      </x:c>
      <x:c r="H173" s="97" t="str">
        <x:v>Y</x:v>
      </x:c>
      <x:c r="I173" s="97" t="str">
        <x:v>N</x:v>
      </x:c>
      <x:c r="J173" s="97" t="str">
        <x:v>-</x:v>
      </x:c>
      <x:c r="K173" s="96" t="str">
        <x:v>BETWEEN 0 AND 1</x:v>
      </x:c>
      <x:c r="L173" s="96" t="str">
        <x:v>-</x:v>
      </x:c>
      <x:c r="M173" s="96" t="str">
        <x:v>경로엔진</x:v>
      </x:c>
      <x:c r="N173" s="96" t="str">
        <x:v>선택</x:v>
      </x:c>
      <x:c r="O173" s="94" t="str">
        <x:v>N</x:v>
      </x:c>
      <x:c r="P173" s="94" t="str">
        <x:v>수정 반영</x:v>
      </x:c>
      <x:c r="Q173" s="95" t="str">
        <x:v>신뢰도 0~1 범위 명시</x:v>
      </x:c>
      <x:c r="R173" s="87" t="str">
        <x:v>-</x:v>
      </x:c>
    </x:row>
    <x:row r="174" ht="42" customHeight="1">
      <x:c r="A174" s="96" t="str">
        <x:v>traffic_accidents</x:v>
      </x:c>
      <x:c r="B174" s="96" t="str">
        <x:v>raw_payload</x:v>
      </x:c>
      <x:c r="C174" s="96" t="str">
        <x:v>추적용 원본 일부</x:v>
      </x:c>
      <x:c r="D174" s="96" t="str">
        <x:v>jsonb</x:v>
      </x:c>
      <x:c r="E174" s="97" t="str">
        <x:v>N</x:v>
      </x:c>
      <x:c r="F174" s="97" t="str">
        <x:v>N</x:v>
      </x:c>
      <x:c r="G174" s="96" t="str">
        <x:v>-</x:v>
      </x:c>
      <x:c r="H174" s="97" t="str">
        <x:v>Y</x:v>
      </x:c>
      <x:c r="I174" s="97" t="str">
        <x:v>N</x:v>
      </x:c>
      <x:c r="J174" s="97" t="str">
        <x:v>-</x:v>
      </x:c>
      <x:c r="K174" s="96" t="str">
        <x:v>개인정보 제거</x:v>
      </x:c>
      <x:c r="L174" s="96" t="str">
        <x:v>GIN 선택</x:v>
      </x:c>
      <x:c r="M174" s="96" t="str">
        <x:v>A-DATA</x:v>
      </x:c>
      <x:c r="N174" s="96" t="str">
        <x:v>필요 필드만</x:v>
      </x:c>
      <x:c r="O174" s="94" t="str">
        <x:v>N</x:v>
      </x:c>
      <x:c r="P174" s="94" t="str">
        <x:v>확인 필요</x:v>
      </x:c>
      <x:c r="Q174" s="95" t="str">
        <x:v>raw_payload에는 필요한 원천 필드만 보관, 개인정보 제거</x:v>
      </x:c>
      <x:c r="R174" s="87" t="str">
        <x:v>-</x:v>
      </x:c>
    </x:row>
    <x:row r="175" ht="42" customHeight="1">
      <x:c r="A175" s="96" t="str">
        <x:v>traffic_accidents</x:v>
      </x:c>
      <x:c r="B175" s="96" t="str">
        <x:v>source_updated_at</x:v>
      </x:c>
      <x:c r="C175" s="96" t="str">
        <x:v>원천 기준일</x:v>
      </x:c>
      <x:c r="D175" s="96" t="str">
        <x:v>timestamptz</x:v>
      </x:c>
      <x:c r="E175" s="97" t="str">
        <x:v>N</x:v>
      </x:c>
      <x:c r="F175" s="97" t="str">
        <x:v>N</x:v>
      </x:c>
      <x:c r="G175" s="96" t="str">
        <x:v>-</x:v>
      </x:c>
      <x:c r="H175" s="97" t="str">
        <x:v>Y</x:v>
      </x:c>
      <x:c r="I175" s="97" t="str">
        <x:v>N</x:v>
      </x:c>
      <x:c r="J175" s="97" t="str">
        <x:v>-</x:v>
      </x:c>
      <x:c r="K175" s="96" t="str">
        <x:v>-</x:v>
      </x:c>
      <x:c r="L175" s="96" t="str">
        <x:v>INDEX</x:v>
      </x:c>
      <x:c r="M175" s="96" t="str">
        <x:v>A-DATA</x:v>
      </x:c>
      <x:c r="N175" s="96" t="str">
        <x:v>-</x:v>
      </x:c>
      <x:c r="O175" s="94" t="str">
        <x:v>N</x:v>
      </x:c>
      <x:c r="P175" s="94" t="str">
        <x:v>OK</x:v>
      </x:c>
      <x:c r="Q175" s="95"/>
      <x:c r="R175" s="87" t="str">
        <x:v>-</x:v>
      </x:c>
    </x:row>
    <x:row r="176" ht="42" customHeight="1">
      <x:c r="A176" s="96" t="str">
        <x:v>notices</x:v>
      </x:c>
      <x:c r="B176" s="96" t="str">
        <x:v>id</x:v>
      </x:c>
      <x:c r="C176" s="96" t="str">
        <x:v>공지 PK</x:v>
      </x:c>
      <x:c r="D176" s="96" t="str">
        <x:v>bigint</x:v>
      </x:c>
      <x:c r="E176" s="97" t="str">
        <x:v>Y</x:v>
      </x:c>
      <x:c r="F176" s="97" t="str">
        <x:v>N</x:v>
      </x:c>
      <x:c r="G176" s="96" t="str">
        <x:v>-</x:v>
      </x:c>
      <x:c r="H176" s="97" t="str">
        <x:v>N</x:v>
      </x:c>
      <x:c r="I176" s="97" t="str">
        <x:v>N</x:v>
      </x:c>
      <x:c r="J176" s="97" t="str">
        <x:v>GENERATED BY DEFAULT AS IDENTITY</x:v>
      </x:c>
      <x:c r="K176" s="96" t="str">
        <x:v>-</x:v>
      </x:c>
      <x:c r="L176" s="96" t="str">
        <x:v>PK</x:v>
      </x:c>
      <x:c r="M176" s="96" t="str">
        <x:v>SUPPORT-004/005</x:v>
      </x:c>
      <x:c r="N176" s="96" t="str">
        <x:v>-</x:v>
      </x:c>
      <x:c r="O176" s="94" t="str">
        <x:v>N</x:v>
      </x:c>
      <x:c r="P176" s="94" t="str">
        <x:v>수정 반영</x:v>
      </x:c>
      <x:c r="Q176" s="95" t="str">
        <x:v>identity는 DEFAULT 값이 아니라 GENERATED BY DEFAULT AS IDENTITY 구문으로 생성</x:v>
      </x:c>
      <x:c r="R176" s="87" t="str">
        <x:v>-</x:v>
      </x:c>
    </x:row>
    <x:row r="177" ht="42" customHeight="1">
      <x:c r="A177" s="91" t="str">
        <x:v>notices</x:v>
      </x:c>
      <x:c r="B177" s="92" t="str">
        <x:v>title</x:v>
      </x:c>
      <x:c r="C177" s="92" t="str">
        <x:v>공지 제목</x:v>
      </x:c>
      <x:c r="D177" s="92" t="str">
        <x:v>varchar(200)</x:v>
      </x:c>
      <x:c r="E177" s="93" t="str">
        <x:v>N</x:v>
      </x:c>
      <x:c r="F177" s="93" t="str">
        <x:v>N</x:v>
      </x:c>
      <x:c r="G177" s="92" t="str">
        <x:v>-</x:v>
      </x:c>
      <x:c r="H177" s="93" t="str">
        <x:v>N</x:v>
      </x:c>
      <x:c r="I177" s="93" t="str">
        <x:v>N</x:v>
      </x:c>
      <x:c r="J177" s="93" t="str">
        <x:v>-</x:v>
      </x:c>
      <x:c r="K177" s="92" t="str">
        <x:v>-</x:v>
      </x:c>
      <x:c r="L177" s="92" t="str">
        <x:v>INDEX</x:v>
      </x:c>
      <x:c r="M177" s="92" t="str">
        <x:v>SUPPORT-004/005</x:v>
      </x:c>
      <x:c r="N177" s="92" t="str">
        <x:v>-</x:v>
      </x:c>
      <x:c r="O177" s="94" t="str">
        <x:v>N</x:v>
      </x:c>
      <x:c r="P177" s="94" t="str">
        <x:v>OK</x:v>
      </x:c>
      <x:c r="Q177" s="95"/>
      <x:c r="R177" s="87" t="str">
        <x:v>-</x:v>
      </x:c>
    </x:row>
    <x:row r="178" ht="42" customHeight="1">
      <x:c r="A178" s="96" t="str">
        <x:v>notices</x:v>
      </x:c>
      <x:c r="B178" s="96" t="str">
        <x:v>content</x:v>
      </x:c>
      <x:c r="C178" s="96" t="str">
        <x:v>공지 본문</x:v>
      </x:c>
      <x:c r="D178" s="96" t="str">
        <x:v>text</x:v>
      </x:c>
      <x:c r="E178" s="97" t="str">
        <x:v>N</x:v>
      </x:c>
      <x:c r="F178" s="97" t="str">
        <x:v>N</x:v>
      </x:c>
      <x:c r="G178" s="96" t="str">
        <x:v>-</x:v>
      </x:c>
      <x:c r="H178" s="97" t="str">
        <x:v>N</x:v>
      </x:c>
      <x:c r="I178" s="97" t="str">
        <x:v>N</x:v>
      </x:c>
      <x:c r="J178" s="97" t="str">
        <x:v>-</x:v>
      </x:c>
      <x:c r="K178" s="96" t="str">
        <x:v>-</x:v>
      </x:c>
      <x:c r="L178" s="96" t="str">
        <x:v>-</x:v>
      </x:c>
      <x:c r="M178" s="96" t="str">
        <x:v>SUPPORT-005</x:v>
      </x:c>
      <x:c r="N178" s="96" t="str">
        <x:v>-</x:v>
      </x:c>
      <x:c r="O178" s="94" t="str">
        <x:v>N</x:v>
      </x:c>
      <x:c r="P178" s="94" t="str">
        <x:v>OK</x:v>
      </x:c>
      <x:c r="Q178" s="95"/>
      <x:c r="R178" s="87" t="str">
        <x:v>-</x:v>
      </x:c>
    </x:row>
    <x:row r="179" ht="42" customHeight="1">
      <x:c r="A179" s="96" t="str">
        <x:v>notices</x:v>
      </x:c>
      <x:c r="B179" s="96" t="str">
        <x:v>is_published</x:v>
      </x:c>
      <x:c r="C179" s="96" t="str">
        <x:v>게시 여부</x:v>
      </x:c>
      <x:c r="D179" s="96" t="str">
        <x:v>boolean</x:v>
      </x:c>
      <x:c r="E179" s="97" t="str">
        <x:v>N</x:v>
      </x:c>
      <x:c r="F179" s="97" t="str">
        <x:v>N</x:v>
      </x:c>
      <x:c r="G179" s="96" t="str">
        <x:v>-</x:v>
      </x:c>
      <x:c r="H179" s="97" t="str">
        <x:v>N</x:v>
      </x:c>
      <x:c r="I179" s="97" t="str">
        <x:v>N</x:v>
      </x:c>
      <x:c r="J179" s="100" t="b">
        <x:v>0</x:v>
      </x:c>
      <x:c r="K179" s="96" t="str">
        <x:v>-</x:v>
      </x:c>
      <x:c r="L179" s="96" t="str">
        <x:v>INDEX</x:v>
      </x:c>
      <x:c r="M179" s="96" t="str">
        <x:v>SUPPORT-004</x:v>
      </x:c>
      <x:c r="N179" s="96" t="str">
        <x:v>-</x:v>
      </x:c>
      <x:c r="O179" s="94" t="str">
        <x:v>N</x:v>
      </x:c>
      <x:c r="P179" s="94" t="str">
        <x:v>OK</x:v>
      </x:c>
      <x:c r="Q179" s="95"/>
      <x:c r="R179" s="87" t="str">
        <x:v>-</x:v>
      </x:c>
    </x:row>
    <x:row r="180" ht="42" customHeight="1">
      <x:c r="A180" s="96" t="str">
        <x:v>notices</x:v>
      </x:c>
      <x:c r="B180" s="96" t="str">
        <x:v>published_at</x:v>
      </x:c>
      <x:c r="C180" s="96" t="str">
        <x:v>게시일시</x:v>
      </x:c>
      <x:c r="D180" s="96" t="str">
        <x:v>timestamptz</x:v>
      </x:c>
      <x:c r="E180" s="97" t="str">
        <x:v>N</x:v>
      </x:c>
      <x:c r="F180" s="97" t="str">
        <x:v>N</x:v>
      </x:c>
      <x:c r="G180" s="96" t="str">
        <x:v>-</x:v>
      </x:c>
      <x:c r="H180" s="97" t="str">
        <x:v>Y</x:v>
      </x:c>
      <x:c r="I180" s="97" t="str">
        <x:v>N</x:v>
      </x:c>
      <x:c r="J180" s="97" t="str">
        <x:v>-</x:v>
      </x:c>
      <x:c r="K180" s="96" t="str">
        <x:v>게시 시 필수</x:v>
      </x:c>
      <x:c r="L180" s="96" t="str">
        <x:v>INDEX</x:v>
      </x:c>
      <x:c r="M180" s="96" t="str">
        <x:v>SUPPORT-004</x:v>
      </x:c>
      <x:c r="N180" s="96" t="str">
        <x:v>최신순</x:v>
      </x:c>
      <x:c r="O180" s="94" t="str">
        <x:v>N</x:v>
      </x:c>
      <x:c r="P180" s="94" t="str">
        <x:v>OK</x:v>
      </x:c>
      <x:c r="Q180" s="95"/>
      <x:c r="R180" s="87" t="str">
        <x:v>-</x:v>
      </x:c>
    </x:row>
    <x:row r="181" ht="42" customHeight="1">
      <x:c r="A181" s="96" t="str">
        <x:v>notices</x:v>
      </x:c>
      <x:c r="B181" s="96" t="str">
        <x:v>created_by</x:v>
      </x:c>
      <x:c r="C181" s="96" t="str">
        <x:v>작성 관리자 FK</x:v>
      </x:c>
      <x:c r="D181" s="96" t="str">
        <x:v>uuid</x:v>
      </x:c>
      <x:c r="E181" s="97" t="str">
        <x:v>N</x:v>
      </x:c>
      <x:c r="F181" s="97" t="str">
        <x:v>Y</x:v>
      </x:c>
      <x:c r="G181" s="96" t="str">
        <x:v>admins.id</x:v>
      </x:c>
      <x:c r="H181" s="97" t="str">
        <x:v>Y</x:v>
      </x:c>
      <x:c r="I181" s="97" t="str">
        <x:v>N</x:v>
      </x:c>
      <x:c r="J181" s="97" t="str">
        <x:v>-</x:v>
      </x:c>
      <x:c r="K181" s="96" t="str">
        <x:v>-</x:v>
      </x:c>
      <x:c r="L181" s="96" t="str">
        <x:v>INDEX</x:v>
      </x:c>
      <x:c r="M181" s="96" t="str">
        <x:v>-</x:v>
      </x:c>
      <x:c r="N181" s="96" t="str">
        <x:v>SQL 입력이면 NULL 가능</x:v>
      </x:c>
      <x:c r="O181" s="94" t="str">
        <x:v>N</x:v>
      </x:c>
      <x:c r="P181" s="94" t="str">
        <x:v>OK</x:v>
      </x:c>
      <x:c r="Q181" s="95"/>
      <x:c r="R181" s="87" t="str">
        <x:v>SET NULL</x:v>
      </x:c>
    </x:row>
    <x:row r="182" ht="42" customHeight="1">
      <x:c r="A182" s="96" t="str">
        <x:v>notices</x:v>
      </x:c>
      <x:c r="B182" s="96" t="str">
        <x:v>created_at</x:v>
      </x:c>
      <x:c r="C182" s="96" t="str">
        <x:v>생성일시</x:v>
      </x:c>
      <x:c r="D182" s="96" t="str">
        <x:v>timestamptz</x:v>
      </x:c>
      <x:c r="E182" s="97" t="str">
        <x:v>N</x:v>
      </x:c>
      <x:c r="F182" s="97" t="str">
        <x:v>N</x:v>
      </x:c>
      <x:c r="G182" s="96" t="str">
        <x:v>-</x:v>
      </x:c>
      <x:c r="H182" s="97" t="str">
        <x:v>N</x:v>
      </x:c>
      <x:c r="I182" s="97" t="str">
        <x:v>N</x:v>
      </x:c>
      <x:c r="J182" s="97" t="str">
        <x:v>now()</x:v>
      </x:c>
      <x:c r="K182" s="96" t="str">
        <x:v>-</x:v>
      </x:c>
      <x:c r="L182" s="96" t="str">
        <x:v>-</x:v>
      </x:c>
      <x:c r="M182" s="96" t="str">
        <x:v>-</x:v>
      </x:c>
      <x:c r="N182" s="96" t="str">
        <x:v>-</x:v>
      </x:c>
      <x:c r="O182" s="94" t="str">
        <x:v>N</x:v>
      </x:c>
      <x:c r="P182" s="94" t="str">
        <x:v>OK</x:v>
      </x:c>
      <x:c r="Q182" s="95"/>
      <x:c r="R182" s="87" t="str">
        <x:v>-</x:v>
      </x:c>
    </x:row>
    <x:row r="183" ht="42" customHeight="1">
      <x:c r="A183" s="96" t="str">
        <x:v>notices</x:v>
      </x:c>
      <x:c r="B183" s="96" t="str">
        <x:v>updated_at</x:v>
      </x:c>
      <x:c r="C183" s="96" t="str">
        <x:v>수정일시</x:v>
      </x:c>
      <x:c r="D183" s="96" t="str">
        <x:v>timestamptz</x:v>
      </x:c>
      <x:c r="E183" s="97" t="str">
        <x:v>N</x:v>
      </x:c>
      <x:c r="F183" s="97" t="str">
        <x:v>N</x:v>
      </x:c>
      <x:c r="G183" s="96" t="str">
        <x:v>-</x:v>
      </x:c>
      <x:c r="H183" s="97" t="str">
        <x:v>N</x:v>
      </x:c>
      <x:c r="I183" s="97" t="str">
        <x:v>N</x:v>
      </x:c>
      <x:c r="J183" s="97" t="str">
        <x:v>now()</x:v>
      </x:c>
      <x:c r="K183" s="96" t="str">
        <x:v>-</x:v>
      </x:c>
      <x:c r="L183" s="96" t="str">
        <x:v>-</x:v>
      </x:c>
      <x:c r="M183" s="96" t="str">
        <x:v>-</x:v>
      </x:c>
      <x:c r="N183" s="96" t="str">
        <x:v>-</x:v>
      </x:c>
      <x:c r="O183" s="94" t="str">
        <x:v>N</x:v>
      </x:c>
      <x:c r="P183" s="94" t="str">
        <x:v>권장 확인</x:v>
      </x:c>
      <x:c r="Q183" s="95" t="str">
        <x:v>updated_at 자동 갱신은 trigger 또는 Backend 처리</x:v>
      </x:c>
      <x:c r="R183" s="87" t="str">
        <x:v>-</x:v>
      </x:c>
    </x:row>
    <x:row r="184" ht="42" customHeight="1">
      <x:c r="A184" s="96" t="str">
        <x:v>inquiries</x:v>
      </x:c>
      <x:c r="B184" s="96" t="str">
        <x:v>id</x:v>
      </x:c>
      <x:c r="C184" s="96" t="str">
        <x:v>문의 PK</x:v>
      </x:c>
      <x:c r="D184" s="96" t="str">
        <x:v>uuid</x:v>
      </x:c>
      <x:c r="E184" s="97" t="str">
        <x:v>Y</x:v>
      </x:c>
      <x:c r="F184" s="97" t="str">
        <x:v>N</x:v>
      </x:c>
      <x:c r="G184" s="96" t="str">
        <x:v>-</x:v>
      </x:c>
      <x:c r="H184" s="97" t="str">
        <x:v>N</x:v>
      </x:c>
      <x:c r="I184" s="97" t="str">
        <x:v>N</x:v>
      </x:c>
      <x:c r="J184" s="97" t="str">
        <x:v>gen_random_uuid()</x:v>
      </x:c>
      <x:c r="K184" s="96" t="str">
        <x:v>-</x:v>
      </x:c>
      <x:c r="L184" s="96" t="str">
        <x:v>PK</x:v>
      </x:c>
      <x:c r="M184" s="96" t="str">
        <x:v>SUPPORT-006</x:v>
      </x:c>
      <x:c r="N184" s="96" t="str">
        <x:v>-</x:v>
      </x:c>
      <x:c r="O184" s="94" t="str">
        <x:v>N</x:v>
      </x:c>
      <x:c r="P184" s="94" t="str">
        <x:v>수정 반영</x:v>
      </x:c>
      <x:c r="Q184" s="95" t="str">
        <x:v>PK 자체가 NOT NULL + UNIQUE를 보장하므로 별도 UNIQUE 플래그 제거</x:v>
      </x:c>
      <x:c r="R184" s="87" t="str">
        <x:v>-</x:v>
      </x:c>
    </x:row>
    <x:row r="185" ht="42" customHeight="1">
      <x:c r="A185" s="96" t="str">
        <x:v>inquiries</x:v>
      </x:c>
      <x:c r="B185" s="96" t="str">
        <x:v>user_id</x:v>
      </x:c>
      <x:c r="C185" s="96" t="str">
        <x:v>문의 회원 FK</x:v>
      </x:c>
      <x:c r="D185" s="96" t="str">
        <x:v>uuid</x:v>
      </x:c>
      <x:c r="E185" s="97" t="str">
        <x:v>N</x:v>
      </x:c>
      <x:c r="F185" s="97" t="str">
        <x:v>Y</x:v>
      </x:c>
      <x:c r="G185" s="96" t="str">
        <x:v>users.id</x:v>
      </x:c>
      <x:c r="H185" s="97" t="str">
        <x:v>N</x:v>
      </x:c>
      <x:c r="I185" s="97" t="str">
        <x:v>N</x:v>
      </x:c>
      <x:c r="J185" s="97" t="str">
        <x:v>-</x:v>
      </x:c>
      <x:c r="K185" s="96" t="str">
        <x:v>-</x:v>
      </x:c>
      <x:c r="L185" s="96" t="str">
        <x:v>INDEX</x:v>
      </x:c>
      <x:c r="M185" s="96" t="str">
        <x:v>SUPPORT-006</x:v>
      </x:c>
      <x:c r="N185" s="96" t="str">
        <x:v>탈퇴 30일 후 사용자와 함께 삭제</x:v>
      </x:c>
      <x:c r="O185" s="94" t="str">
        <x:v>N</x:v>
      </x:c>
      <x:c r="P185" s="94" t="str">
        <x:v>확정</x:v>
      </x:c>
      <x:c r="Q185" s="95" t="str">
        <x:v>30일 보관 후 hard delete 시 CASCADE</x:v>
      </x:c>
      <x:c r="R185" s="87" t="str">
        <x:v>CASCADE</x:v>
      </x:c>
    </x:row>
    <x:row r="186" ht="42" customHeight="1">
      <x:c r="A186" s="96" t="str">
        <x:v>inquiries</x:v>
      </x:c>
      <x:c r="B186" s="96" t="str">
        <x:v>category</x:v>
      </x:c>
      <x:c r="C186" s="96" t="str">
        <x:v>문의 유형</x:v>
      </x:c>
      <x:c r="D186" s="96" t="str">
        <x:v>varchar(50)</x:v>
      </x:c>
      <x:c r="E186" s="97" t="str">
        <x:v>N</x:v>
      </x:c>
      <x:c r="F186" s="97" t="str">
        <x:v>N</x:v>
      </x:c>
      <x:c r="G186" s="96" t="str">
        <x:v>-</x:v>
      </x:c>
      <x:c r="H186" s="97" t="str">
        <x:v>N</x:v>
      </x:c>
      <x:c r="I186" s="97" t="str">
        <x:v>N</x:v>
      </x:c>
      <x:c r="J186" s="97" t="str">
        <x:v>-</x:v>
      </x:c>
      <x:c r="K186" s="96" t="str">
        <x:v>코드 목록 후속</x:v>
      </x:c>
      <x:c r="L186" s="96" t="str">
        <x:v>INDEX</x:v>
      </x:c>
      <x:c r="M186" s="96" t="str">
        <x:v>SUPPORT-006</x:v>
      </x:c>
      <x:c r="N186" s="96" t="str">
        <x:v>-</x:v>
      </x:c>
      <x:c r="O186" s="94" t="str">
        <x:v>N</x:v>
      </x:c>
      <x:c r="P186" s="94" t="str">
        <x:v>OK</x:v>
      </x:c>
      <x:c r="Q186" s="95"/>
      <x:c r="R186" s="87" t="str">
        <x:v>-</x:v>
      </x:c>
    </x:row>
    <x:row r="187" ht="42" customHeight="1">
      <x:c r="A187" s="96" t="str">
        <x:v>inquiries</x:v>
      </x:c>
      <x:c r="B187" s="96" t="str">
        <x:v>title</x:v>
      </x:c>
      <x:c r="C187" s="96" t="str">
        <x:v>문의 제목</x:v>
      </x:c>
      <x:c r="D187" s="96" t="str">
        <x:v>varchar(200)</x:v>
      </x:c>
      <x:c r="E187" s="97" t="str">
        <x:v>N</x:v>
      </x:c>
      <x:c r="F187" s="97" t="str">
        <x:v>N</x:v>
      </x:c>
      <x:c r="G187" s="96" t="str">
        <x:v>-</x:v>
      </x:c>
      <x:c r="H187" s="97" t="str">
        <x:v>N</x:v>
      </x:c>
      <x:c r="I187" s="97" t="str">
        <x:v>N</x:v>
      </x:c>
      <x:c r="J187" s="97" t="str">
        <x:v>-</x:v>
      </x:c>
      <x:c r="K187" s="96" t="str">
        <x:v>길이 제한</x:v>
      </x:c>
      <x:c r="L187" s="96" t="str">
        <x:v>-</x:v>
      </x:c>
      <x:c r="M187" s="96" t="str">
        <x:v>SUPPORT-006</x:v>
      </x:c>
      <x:c r="N187" s="96" t="str">
        <x:v>-</x:v>
      </x:c>
      <x:c r="O187" s="94" t="str">
        <x:v>N</x:v>
      </x:c>
      <x:c r="P187" s="94" t="str">
        <x:v>OK</x:v>
      </x:c>
      <x:c r="Q187" s="95"/>
      <x:c r="R187" s="87" t="str">
        <x:v>-</x:v>
      </x:c>
    </x:row>
    <x:row r="188" ht="42" customHeight="1">
      <x:c r="A188" s="91" t="str">
        <x:v>inquiries</x:v>
      </x:c>
      <x:c r="B188" s="92" t="str">
        <x:v>content</x:v>
      </x:c>
      <x:c r="C188" s="92" t="str">
        <x:v>문의 내용</x:v>
      </x:c>
      <x:c r="D188" s="92" t="str">
        <x:v>text</x:v>
      </x:c>
      <x:c r="E188" s="93" t="str">
        <x:v>N</x:v>
      </x:c>
      <x:c r="F188" s="93" t="str">
        <x:v>N</x:v>
      </x:c>
      <x:c r="G188" s="92" t="str">
        <x:v>-</x:v>
      </x:c>
      <x:c r="H188" s="93" t="str">
        <x:v>N</x:v>
      </x:c>
      <x:c r="I188" s="93" t="str">
        <x:v>N</x:v>
      </x:c>
      <x:c r="J188" s="93" t="str">
        <x:v>-</x:v>
      </x:c>
      <x:c r="K188" s="92" t="str">
        <x:v>길이 제한</x:v>
      </x:c>
      <x:c r="L188" s="92" t="str">
        <x:v>-</x:v>
      </x:c>
      <x:c r="M188" s="92" t="str">
        <x:v>SUPPORT-006</x:v>
      </x:c>
      <x:c r="N188" s="92" t="str">
        <x:v>-</x:v>
      </x:c>
      <x:c r="O188" s="94" t="str">
        <x:v>N</x:v>
      </x:c>
      <x:c r="P188" s="94" t="str">
        <x:v>OK</x:v>
      </x:c>
      <x:c r="Q188" s="95"/>
      <x:c r="R188" s="87" t="str">
        <x:v>-</x:v>
      </x:c>
    </x:row>
    <x:row r="189" ht="42" customHeight="1">
      <x:c r="A189" s="96" t="str">
        <x:v>inquiries</x:v>
      </x:c>
      <x:c r="B189" s="96" t="str">
        <x:v>status</x:v>
      </x:c>
      <x:c r="C189" s="96" t="str">
        <x:v>처리 상태</x:v>
      </x:c>
      <x:c r="D189" s="96" t="str">
        <x:v>varchar(20)</x:v>
      </x:c>
      <x:c r="E189" s="97" t="str">
        <x:v>N</x:v>
      </x:c>
      <x:c r="F189" s="97" t="str">
        <x:v>N</x:v>
      </x:c>
      <x:c r="G189" s="96" t="str">
        <x:v>-</x:v>
      </x:c>
      <x:c r="H189" s="97" t="str">
        <x:v>N</x:v>
      </x:c>
      <x:c r="I189" s="97" t="str">
        <x:v>N</x:v>
      </x:c>
      <x:c r="J189" s="97" t="str">
        <x:v>'received'</x:v>
      </x:c>
      <x:c r="K189" s="96" t="str">
        <x:v>IN ('received','in_review','answered')</x:v>
      </x:c>
      <x:c r="L189" s="96" t="str">
        <x:v>INDEX</x:v>
      </x:c>
      <x:c r="M189" s="96" t="str">
        <x:v>SUPPORT-006</x:v>
      </x:c>
      <x:c r="N189" s="96" t="str">
        <x:v>관리자 UI는 후속</x:v>
      </x:c>
      <x:c r="O189" s="94" t="str">
        <x:v>N</x:v>
      </x:c>
      <x:c r="P189" s="94" t="str">
        <x:v>수정 반영</x:v>
      </x:c>
      <x:c r="Q189" s="95" t="str">
        <x:v>문의 상태 코드값 명시</x:v>
      </x:c>
      <x:c r="R189" s="87" t="str">
        <x:v>-</x:v>
      </x:c>
    </x:row>
    <x:row r="190" ht="42" customHeight="1">
      <x:c r="A190" s="96" t="str">
        <x:v>inquiries</x:v>
      </x:c>
      <x:c r="B190" s="96" t="str">
        <x:v>created_at</x:v>
      </x:c>
      <x:c r="C190" s="96" t="str">
        <x:v>접수일시</x:v>
      </x:c>
      <x:c r="D190" s="96" t="str">
        <x:v>timestamptz</x:v>
      </x:c>
      <x:c r="E190" s="97" t="str">
        <x:v>N</x:v>
      </x:c>
      <x:c r="F190" s="97" t="str">
        <x:v>N</x:v>
      </x:c>
      <x:c r="G190" s="96" t="str">
        <x:v>-</x:v>
      </x:c>
      <x:c r="H190" s="97" t="str">
        <x:v>N</x:v>
      </x:c>
      <x:c r="I190" s="97" t="str">
        <x:v>N</x:v>
      </x:c>
      <x:c r="J190" s="97" t="str">
        <x:v>now()</x:v>
      </x:c>
      <x:c r="K190" s="96" t="str">
        <x:v>-</x:v>
      </x:c>
      <x:c r="L190" s="96" t="str">
        <x:v>INDEX</x:v>
      </x:c>
      <x:c r="M190" s="96" t="str">
        <x:v>SUPPORT-006</x:v>
      </x:c>
      <x:c r="N190" s="96" t="str">
        <x:v>-</x:v>
      </x:c>
      <x:c r="O190" s="94" t="str">
        <x:v>N</x:v>
      </x:c>
      <x:c r="P190" s="94" t="str">
        <x:v>OK</x:v>
      </x:c>
      <x:c r="Q190" s="95"/>
      <x:c r="R190" s="87" t="str">
        <x:v>-</x:v>
      </x:c>
    </x:row>
    <x:row r="191" ht="42" customHeight="1">
      <x:c r="A191" s="96" t="str">
        <x:v>inquiries</x:v>
      </x:c>
      <x:c r="B191" s="96" t="str">
        <x:v>answered_at</x:v>
      </x:c>
      <x:c r="C191" s="96" t="str">
        <x:v>답변완료시각</x:v>
      </x:c>
      <x:c r="D191" s="96" t="str">
        <x:v>timestamptz</x:v>
      </x:c>
      <x:c r="E191" s="97" t="str">
        <x:v>N</x:v>
      </x:c>
      <x:c r="F191" s="97" t="str">
        <x:v>N</x:v>
      </x:c>
      <x:c r="G191" s="96" t="str">
        <x:v>-</x:v>
      </x:c>
      <x:c r="H191" s="97" t="str">
        <x:v>Y</x:v>
      </x:c>
      <x:c r="I191" s="97" t="str">
        <x:v>N</x:v>
      </x:c>
      <x:c r="J191" s="97" t="str">
        <x:v>-</x:v>
      </x:c>
      <x:c r="K191" s="96" t="str">
        <x:v>-</x:v>
      </x:c>
      <x:c r="L191" s="96" t="str">
        <x:v>-</x:v>
      </x:c>
      <x:c r="M191" s="96" t="str">
        <x:v>후속 운영</x:v>
      </x:c>
      <x:c r="N191" s="96" t="str">
        <x:v>-</x:v>
      </x:c>
      <x:c r="O191" s="94" t="str">
        <x:v>N</x:v>
      </x:c>
      <x:c r="P191" s="94" t="str">
        <x:v>OK</x:v>
      </x:c>
      <x:c r="Q191" s="95"/>
      <x:c r="R191" s="87" t="str">
        <x:v>-</x:v>
      </x:c>
    </x:row>
    <x:row r="192" ht="42" customHeight="1">
      <x:c r="A192" s="96" t="str">
        <x:v>recent_searches (조건부)</x:v>
      </x:c>
      <x:c r="B192" s="96" t="str">
        <x:v>id</x:v>
      </x:c>
      <x:c r="C192" s="96" t="str">
        <x:v>최근검색 PK</x:v>
      </x:c>
      <x:c r="D192" s="96" t="str">
        <x:v>bigint</x:v>
      </x:c>
      <x:c r="E192" s="97" t="str">
        <x:v>Y</x:v>
      </x:c>
      <x:c r="F192" s="97" t="str">
        <x:v>N</x:v>
      </x:c>
      <x:c r="G192" s="96" t="str">
        <x:v>-</x:v>
      </x:c>
      <x:c r="H192" s="97" t="str">
        <x:v>N</x:v>
      </x:c>
      <x:c r="I192" s="97" t="str">
        <x:v>N</x:v>
      </x:c>
      <x:c r="J192" s="97" t="str">
        <x:v>GENERATED BY DEFAULT AS IDENTITY</x:v>
      </x:c>
      <x:c r="K192" s="96" t="str">
        <x:v>-</x:v>
      </x:c>
      <x:c r="L192" s="96" t="str">
        <x:v>PK</x:v>
      </x:c>
      <x:c r="M192" s="96" t="str">
        <x:v>SRCH-001</x:v>
      </x:c>
      <x:c r="N192" s="96" t="str">
        <x:v>-</x:v>
      </x:c>
      <x:c r="O192" s="94" t="str">
        <x:v>N</x:v>
      </x:c>
      <x:c r="P192" s="94" t="str">
        <x:v>수정 반영</x:v>
      </x:c>
      <x:c r="Q192" s="95" t="str">
        <x:v>identity는 DEFAULT 값이 아니라 GENERATED BY DEFAULT AS IDENTITY 구문으로 생성</x:v>
      </x:c>
      <x:c r="R192" s="87" t="str">
        <x:v>-</x:v>
      </x:c>
    </x:row>
    <x:row r="193" ht="42" customHeight="1">
      <x:c r="A193" s="96" t="str">
        <x:v>recent_searches (조건부)</x:v>
      </x:c>
      <x:c r="B193" s="96" t="str">
        <x:v>user_id</x:v>
      </x:c>
      <x:c r="C193" s="96" t="str">
        <x:v>회원 FK</x:v>
      </x:c>
      <x:c r="D193" s="96" t="str">
        <x:v>uuid</x:v>
      </x:c>
      <x:c r="E193" s="97" t="str">
        <x:v>N</x:v>
      </x:c>
      <x:c r="F193" s="97" t="str">
        <x:v>Y</x:v>
      </x:c>
      <x:c r="G193" s="96" t="str">
        <x:v>users.id</x:v>
      </x:c>
      <x:c r="H193" s="97" t="str">
        <x:v>N</x:v>
      </x:c>
      <x:c r="I193" s="97" t="str">
        <x:v>N</x:v>
      </x:c>
      <x:c r="J193" s="97" t="str">
        <x:v>-</x:v>
      </x:c>
      <x:c r="K193" s="96" t="str">
        <x:v>-</x:v>
      </x:c>
      <x:c r="L193" s="96" t="str">
        <x:v>INDEX</x:v>
      </x:c>
      <x:c r="M193" s="96" t="str">
        <x:v>SRCH-001</x:v>
      </x:c>
      <x:c r="N193" s="96" t="str">
        <x:v>-</x:v>
      </x:c>
      <x:c r="O193" s="94" t="str">
        <x:v>N</x:v>
      </x:c>
      <x:c r="P193" s="94" t="str">
        <x:v>조건부</x:v>
      </x:c>
      <x:c r="Q193" s="95" t="str">
        <x:v>MVP 미생성 가능; 생성 시 현재 제약 적용</x:v>
      </x:c>
      <x:c r="R193" s="87" t="str">
        <x:v>CASCADE</x:v>
      </x:c>
    </x:row>
    <x:row r="194" ht="42" customHeight="1">
      <x:c r="A194" s="96" t="str">
        <x:v>recent_searches (조건부)</x:v>
      </x:c>
      <x:c r="B194" s="96" t="str">
        <x:v>place_name</x:v>
      </x:c>
      <x:c r="C194" s="96" t="str">
        <x:v>선택 장소명</x:v>
      </x:c>
      <x:c r="D194" s="96" t="str">
        <x:v>varchar(200)</x:v>
      </x:c>
      <x:c r="E194" s="97" t="str">
        <x:v>N</x:v>
      </x:c>
      <x:c r="F194" s="97" t="str">
        <x:v>N</x:v>
      </x:c>
      <x:c r="G194" s="96" t="str">
        <x:v>-</x:v>
      </x:c>
      <x:c r="H194" s="97" t="str">
        <x:v>N</x:v>
      </x:c>
      <x:c r="I194" s="97" t="str">
        <x:v>N</x:v>
      </x:c>
      <x:c r="J194" s="97" t="str">
        <x:v>-</x:v>
      </x:c>
      <x:c r="K194" s="96" t="str">
        <x:v>-</x:v>
      </x:c>
      <x:c r="L194" s="96" t="str">
        <x:v>-</x:v>
      </x:c>
      <x:c r="M194" s="96" t="str">
        <x:v>SRCH-001</x:v>
      </x:c>
      <x:c r="N194" s="96" t="str">
        <x:v>-</x:v>
      </x:c>
      <x:c r="O194" s="94" t="str">
        <x:v>N</x:v>
      </x:c>
      <x:c r="P194" s="94" t="str">
        <x:v>조건부</x:v>
      </x:c>
      <x:c r="Q194" s="95" t="str">
        <x:v>MVP 미생성 가능; 생성 시 현재 제약 적용</x:v>
      </x:c>
      <x:c r="R194" s="87" t="str">
        <x:v>-</x:v>
      </x:c>
    </x:row>
    <x:row r="195" ht="42" customHeight="1">
      <x:c r="A195" s="96" t="str">
        <x:v>recent_searches (조건부)</x:v>
      </x:c>
      <x:c r="B195" s="96" t="str">
        <x:v>address</x:v>
      </x:c>
      <x:c r="C195" s="96" t="str">
        <x:v>선택 주소</x:v>
      </x:c>
      <x:c r="D195" s="96" t="str">
        <x:v>text</x:v>
      </x:c>
      <x:c r="E195" s="97" t="str">
        <x:v>N</x:v>
      </x:c>
      <x:c r="F195" s="97" t="str">
        <x:v>N</x:v>
      </x:c>
      <x:c r="G195" s="96" t="str">
        <x:v>-</x:v>
      </x:c>
      <x:c r="H195" s="97" t="str">
        <x:v>Y</x:v>
      </x:c>
      <x:c r="I195" s="97" t="str">
        <x:v>N</x:v>
      </x:c>
      <x:c r="J195" s="97" t="str">
        <x:v>-</x:v>
      </x:c>
      <x:c r="K195" s="96" t="str">
        <x:v>-</x:v>
      </x:c>
      <x:c r="L195" s="96" t="str">
        <x:v>-</x:v>
      </x:c>
      <x:c r="M195" s="96" t="str">
        <x:v>SRCH-001</x:v>
      </x:c>
      <x:c r="N195" s="96" t="str">
        <x:v>-</x:v>
      </x:c>
      <x:c r="O195" s="94" t="str">
        <x:v>N</x:v>
      </x:c>
      <x:c r="P195" s="94" t="str">
        <x:v>조건부</x:v>
      </x:c>
      <x:c r="Q195" s="95" t="str">
        <x:v>MVP 미생성 가능; 생성 시 현재 제약 적용</x:v>
      </x:c>
      <x:c r="R195" s="87" t="str">
        <x:v>-</x:v>
      </x:c>
    </x:row>
    <x:row r="196" ht="42" customHeight="1">
      <x:c r="A196" s="91" t="str">
        <x:v>recent_searches (조건부)</x:v>
      </x:c>
      <x:c r="B196" s="92" t="str">
        <x:v>geom</x:v>
      </x:c>
      <x:c r="C196" s="92" t="str">
        <x:v>선택 좌표</x:v>
      </x:c>
      <x:c r="D196" s="92" t="str">
        <x:v>geometry(Point,4326)</x:v>
      </x:c>
      <x:c r="E196" s="93" t="str">
        <x:v>N</x:v>
      </x:c>
      <x:c r="F196" s="93" t="str">
        <x:v>N</x:v>
      </x:c>
      <x:c r="G196" s="92" t="str">
        <x:v>-</x:v>
      </x:c>
      <x:c r="H196" s="93" t="str">
        <x:v>N</x:v>
      </x:c>
      <x:c r="I196" s="93" t="str">
        <x:v>N</x:v>
      </x:c>
      <x:c r="J196" s="93" t="str">
        <x:v>-</x:v>
      </x:c>
      <x:c r="K196" s="92" t="str">
        <x:v>-</x:v>
      </x:c>
      <x:c r="L196" s="92" t="str">
        <x:v>GIST</x:v>
      </x:c>
      <x:c r="M196" s="92" t="str">
        <x:v>SRCH-001</x:v>
      </x:c>
      <x:c r="N196" s="92" t="str">
        <x:v>-</x:v>
      </x:c>
      <x:c r="O196" s="94" t="str">
        <x:v>Y</x:v>
      </x:c>
      <x:c r="P196" s="94" t="str">
        <x:v>조건부</x:v>
      </x:c>
      <x:c r="Q196" s="95" t="str">
        <x:v>MVP 미생성 가능; 생성 시 현재 제약 적용 / PostGIS + GiST 확인</x:v>
      </x:c>
      <x:c r="R196" s="87" t="str">
        <x:v>-</x:v>
      </x:c>
    </x:row>
    <x:row r="197" ht="42" customHeight="1">
      <x:c r="A197" s="96" t="str">
        <x:v>recent_searches (조건부)</x:v>
      </x:c>
      <x:c r="B197" s="96" t="str">
        <x:v>searched_at</x:v>
      </x:c>
      <x:c r="C197" s="96" t="str">
        <x:v>검색일시</x:v>
      </x:c>
      <x:c r="D197" s="96" t="str">
        <x:v>timestamptz</x:v>
      </x:c>
      <x:c r="E197" s="97" t="str">
        <x:v>N</x:v>
      </x:c>
      <x:c r="F197" s="97" t="str">
        <x:v>N</x:v>
      </x:c>
      <x:c r="G197" s="96" t="str">
        <x:v>-</x:v>
      </x:c>
      <x:c r="H197" s="97" t="str">
        <x:v>N</x:v>
      </x:c>
      <x:c r="I197" s="97" t="str">
        <x:v>N</x:v>
      </x:c>
      <x:c r="J197" s="97" t="str">
        <x:v>now()</x:v>
      </x:c>
      <x:c r="K197" s="96" t="str">
        <x:v>-</x:v>
      </x:c>
      <x:c r="L197" s="96" t="str">
        <x:v>INDEX</x:v>
      </x:c>
      <x:c r="M197" s="96" t="str">
        <x:v>SRCH-001</x:v>
      </x:c>
      <x:c r="N197" s="96" t="str">
        <x:v>MVP 로컬이면 미생성</x:v>
      </x:c>
      <x:c r="O197" s="94" t="str">
        <x:v>N</x:v>
      </x:c>
      <x:c r="P197" s="94" t="str">
        <x:v>조건부</x:v>
      </x:c>
      <x:c r="Q197" s="95" t="str">
        <x:v>MVP 미생성 가능; 생성 시 현재 제약 적용</x:v>
      </x:c>
      <x:c r="R197" s="87" t="str">
        <x:v>-</x:v>
      </x:c>
    </x:row>
    <x:row r="198" ht="42" customHeight="1">
      <x:c r="A198" s="96" t="str">
        <x:v>road_risk_scores (조건부)</x:v>
      </x:c>
      <x:c r="B198" s="96" t="str">
        <x:v>road_link_id</x:v>
      </x:c>
      <x:c r="C198" s="96" t="str">
        <x:v>도로링크 FK</x:v>
      </x:c>
      <x:c r="D198" s="96" t="str">
        <x:v>bigint</x:v>
      </x:c>
      <x:c r="E198" s="97" t="str">
        <x:v>Y</x:v>
      </x:c>
      <x:c r="F198" s="97" t="str">
        <x:v>Y</x:v>
      </x:c>
      <x:c r="G198" s="96" t="str">
        <x:v>road_links.id</x:v>
      </x:c>
      <x:c r="H198" s="97" t="str">
        <x:v>N</x:v>
      </x:c>
      <x:c r="I198" s="97" t="str">
        <x:v>N</x:v>
      </x:c>
      <x:c r="J198" s="97" t="str">
        <x:v>-</x:v>
      </x:c>
      <x:c r="K198" s="96" t="str">
        <x:v>-</x:v>
      </x:c>
      <x:c r="L198" s="96" t="str">
        <x:v>PK 복합</x:v>
      </x:c>
      <x:c r="M198" s="96" t="str">
        <x:v>경로엔진</x:v>
      </x:c>
      <x:c r="N198" s="96" t="str">
        <x:v>-</x:v>
      </x:c>
      <x:c r="O198" s="94" t="str">
        <x:v>N</x:v>
      </x:c>
      <x:c r="P198" s="94" t="str">
        <x:v>조건부</x:v>
      </x:c>
      <x:c r="Q198" s="95" t="str">
        <x:v>MVP 미생성 가능; 생성 시 현재 제약 적용</x:v>
      </x:c>
      <x:c r="R198" s="87" t="str">
        <x:v>CASCADE</x:v>
      </x:c>
    </x:row>
    <x:row r="199" ht="42" customHeight="1">
      <x:c r="A199" s="96" t="str">
        <x:v>road_risk_scores (조건부)</x:v>
      </x:c>
      <x:c r="B199" s="96" t="str">
        <x:v>model_version</x:v>
      </x:c>
      <x:c r="C199" s="96" t="str">
        <x:v>모델 버전</x:v>
      </x:c>
      <x:c r="D199" s="96" t="str">
        <x:v>varchar(50)</x:v>
      </x:c>
      <x:c r="E199" s="97" t="str">
        <x:v>Y</x:v>
      </x:c>
      <x:c r="F199" s="97" t="str">
        <x:v>N</x:v>
      </x:c>
      <x:c r="G199" s="96" t="str">
        <x:v>-</x:v>
      </x:c>
      <x:c r="H199" s="97" t="str">
        <x:v>N</x:v>
      </x:c>
      <x:c r="I199" s="97" t="str">
        <x:v>N</x:v>
      </x:c>
      <x:c r="J199" s="97" t="str">
        <x:v>-</x:v>
      </x:c>
      <x:c r="K199" s="96" t="str">
        <x:v>-</x:v>
      </x:c>
      <x:c r="L199" s="96" t="str">
        <x:v>PK 복합</x:v>
      </x:c>
      <x:c r="M199" s="96" t="str">
        <x:v>경로엔진</x:v>
      </x:c>
      <x:c r="N199" s="96" t="str">
        <x:v>-</x:v>
      </x:c>
      <x:c r="O199" s="94" t="str">
        <x:v>N</x:v>
      </x:c>
      <x:c r="P199" s="94" t="str">
        <x:v>조건부</x:v>
      </x:c>
      <x:c r="Q199" s="95" t="str">
        <x:v>MVP 미생성 가능; 생성 시 현재 제약 적용</x:v>
      </x:c>
      <x:c r="R199" s="87" t="str">
        <x:v>-</x:v>
      </x:c>
    </x:row>
    <x:row r="200" ht="42" customHeight="1">
      <x:c r="A200" s="96" t="str">
        <x:v>road_risk_scores (조건부)</x:v>
      </x:c>
      <x:c r="B200" s="96" t="str">
        <x:v>time_bucket</x:v>
      </x:c>
      <x:c r="C200" s="96" t="str">
        <x:v>시간대</x:v>
      </x:c>
      <x:c r="D200" s="96" t="str">
        <x:v>smallint</x:v>
      </x:c>
      <x:c r="E200" s="97" t="str">
        <x:v>Y</x:v>
      </x:c>
      <x:c r="F200" s="97" t="str">
        <x:v>N</x:v>
      </x:c>
      <x:c r="G200" s="96" t="str">
        <x:v>-</x:v>
      </x:c>
      <x:c r="H200" s="97" t="str">
        <x:v>N</x:v>
      </x:c>
      <x:c r="I200" s="97" t="str">
        <x:v>N</x:v>
      </x:c>
      <x:c r="J200" s="97" t="str">
        <x:v>-</x:v>
      </x:c>
      <x:c r="K200" s="96" t="str">
        <x:v>BETWEEN 0 AND 23</x:v>
      </x:c>
      <x:c r="L200" s="96" t="str">
        <x:v>PK 복합</x:v>
      </x:c>
      <x:c r="M200" s="96" t="str">
        <x:v>경로엔진</x:v>
      </x:c>
      <x:c r="N200" s="96" t="str">
        <x:v>선택</x:v>
      </x:c>
      <x:c r="O200" s="94" t="str">
        <x:v>N</x:v>
      </x:c>
      <x:c r="P200" s="94" t="str">
        <x:v>조건부</x:v>
      </x:c>
      <x:c r="Q200" s="95" t="str">
        <x:v>MVP 미생성 가능; 생성 시 현재 제약 적용</x:v>
      </x:c>
      <x:c r="R200" s="87" t="str">
        <x:v>-</x:v>
      </x:c>
    </x:row>
    <x:row r="201" ht="42" customHeight="1">
      <x:c r="A201" s="96" t="str">
        <x:v>road_risk_scores (조건부)</x:v>
      </x:c>
      <x:c r="B201" s="96" t="str">
        <x:v>risk_cost</x:v>
      </x:c>
      <x:c r="C201" s="96" t="str">
        <x:v>라우팅 내부 비용</x:v>
      </x:c>
      <x:c r="D201" s="96" t="str">
        <x:v>numeric(12,6)</x:v>
      </x:c>
      <x:c r="E201" s="97" t="str">
        <x:v>N</x:v>
      </x:c>
      <x:c r="F201" s="97" t="str">
        <x:v>N</x:v>
      </x:c>
      <x:c r="G201" s="96" t="str">
        <x:v>-</x:v>
      </x:c>
      <x:c r="H201" s="97" t="str">
        <x:v>N</x:v>
      </x:c>
      <x:c r="I201" s="97" t="str">
        <x:v>N</x:v>
      </x:c>
      <x:c r="J201" s="97" t="str">
        <x:v>-</x:v>
      </x:c>
      <x:c r="K201" s="96" t="str">
        <x:v>0 이상</x:v>
      </x:c>
      <x:c r="L201" s="96" t="str">
        <x:v>-</x:v>
      </x:c>
      <x:c r="M201" s="96" t="str">
        <x:v>경로엔진</x:v>
      </x:c>
      <x:c r="N201" s="96" t="str">
        <x:v>사용자 0~100 노출 금지</x:v>
      </x:c>
      <x:c r="O201" s="94" t="str">
        <x:v>N</x:v>
      </x:c>
      <x:c r="P201" s="94" t="str">
        <x:v>조건부</x:v>
      </x:c>
      <x:c r="Q201" s="95" t="str">
        <x:v>MVP 미생성 가능; 생성 시 현재 제약 적용</x:v>
      </x:c>
      <x:c r="R201" s="87" t="str">
        <x:v>-</x:v>
      </x:c>
    </x:row>
    <x:row r="202" ht="42" customHeight="1">
      <x:c r="A202" s="96" t="str">
        <x:v>road_risk_scores (조건부)</x:v>
      </x:c>
      <x:c r="B202" s="96" t="str">
        <x:v>calculated_at</x:v>
      </x:c>
      <x:c r="C202" s="96" t="str">
        <x:v>계산일시</x:v>
      </x:c>
      <x:c r="D202" s="96" t="str">
        <x:v>timestamptz</x:v>
      </x:c>
      <x:c r="E202" s="97" t="str">
        <x:v>N</x:v>
      </x:c>
      <x:c r="F202" s="97" t="str">
        <x:v>N</x:v>
      </x:c>
      <x:c r="G202" s="96" t="str">
        <x:v>-</x:v>
      </x:c>
      <x:c r="H202" s="97" t="str">
        <x:v>N</x:v>
      </x:c>
      <x:c r="I202" s="97" t="str">
        <x:v>N</x:v>
      </x:c>
      <x:c r="J202" s="97" t="str">
        <x:v>now()</x:v>
      </x:c>
      <x:c r="K202" s="96" t="str">
        <x:v>-</x:v>
      </x:c>
      <x:c r="L202" s="96" t="str">
        <x:v>INDEX</x:v>
      </x:c>
      <x:c r="M202" s="96" t="str">
        <x:v>경로엔진</x:v>
      </x:c>
      <x:c r="N202" s="96" t="str">
        <x:v>모델팀 결정 후</x:v>
      </x:c>
      <x:c r="O202" s="94" t="str">
        <x:v>N</x:v>
      </x:c>
      <x:c r="P202" s="94" t="str">
        <x:v>조건부</x:v>
      </x:c>
      <x:c r="Q202" s="95" t="str">
        <x:v>MVP 미생성 가능; 생성 시 현재 제약 적용</x:v>
      </x:c>
      <x:c r="R202" s="87" t="str">
        <x:v>-</x:v>
      </x:c>
    </x:row>
    <x:row r="203" ht="42" customHeight="1">
      <x:c r="A203" s="96"/>
      <x:c r="B203" s="96"/>
      <x:c r="C203" s="96"/>
      <x:c r="D203" s="96"/>
      <x:c r="E203" s="97"/>
      <x:c r="F203" s="97"/>
      <x:c r="G203" s="96"/>
      <x:c r="H203" s="97"/>
      <x:c r="I203" s="97"/>
      <x:c r="J203" s="97"/>
      <x:c r="K203" s="96"/>
      <x:c r="L203" s="96"/>
      <x:c r="M203" s="96"/>
      <x:c r="N203" s="96"/>
      <x:c r="O203" s="94"/>
      <x:c r="P203" s="94"/>
      <x:c r="Q203" s="95"/>
      <x:c r="R203" s="87"/>
    </x:row>
    <x:row r="204" ht="42" customHeight="1">
      <x:c r="A204" s="103"/>
      <x:c r="B204" s="104"/>
      <x:c r="C204" s="104"/>
      <x:c r="D204" s="104"/>
      <x:c r="E204" s="105"/>
      <x:c r="F204" s="105"/>
      <x:c r="G204" s="104"/>
      <x:c r="H204" s="105"/>
      <x:c r="I204" s="105"/>
      <x:c r="J204" s="105"/>
      <x:c r="K204" s="104"/>
      <x:c r="L204" s="104"/>
      <x:c r="M204" s="104"/>
      <x:c r="N204" s="104"/>
      <x:c r="O204" s="94"/>
      <x:c r="P204" s="94"/>
      <x:c r="Q204" s="95"/>
      <x:c r="R204" s="87"/>
    </x:row>
    <x:row r="205" ht="42" customHeight="1">
      <x:c r="A205" s="104"/>
      <x:c r="B205" s="104"/>
      <x:c r="C205" s="104"/>
      <x:c r="D205" s="104"/>
      <x:c r="E205" s="105"/>
      <x:c r="F205" s="105"/>
      <x:c r="G205" s="104"/>
      <x:c r="H205" s="105"/>
      <x:c r="I205" s="105"/>
      <x:c r="J205" s="105"/>
      <x:c r="K205" s="104"/>
      <x:c r="L205" s="104"/>
      <x:c r="M205" s="104"/>
      <x:c r="N205" s="104"/>
      <x:c r="O205" s="94"/>
      <x:c r="P205" s="94"/>
      <x:c r="Q205" s="95"/>
      <x:c r="R205" s="87"/>
    </x:row>
    <x:row r="206" ht="42" customHeight="1">
      <x:c r="A206" s="104"/>
      <x:c r="B206" s="104"/>
      <x:c r="C206" s="104"/>
      <x:c r="D206" s="104"/>
      <x:c r="E206" s="105"/>
      <x:c r="F206" s="105"/>
      <x:c r="G206" s="104"/>
      <x:c r="H206" s="105"/>
      <x:c r="I206" s="105"/>
      <x:c r="J206" s="105"/>
      <x:c r="K206" s="104"/>
      <x:c r="L206" s="104"/>
      <x:c r="M206" s="104"/>
      <x:c r="N206" s="104"/>
      <x:c r="O206" s="94"/>
      <x:c r="P206" s="94"/>
      <x:c r="Q206" s="95"/>
      <x:c r="R206" s="87"/>
    </x:row>
    <x:row r="207" ht="42" customHeight="1">
      <x:c r="A207" s="104"/>
      <x:c r="B207" s="104"/>
      <x:c r="C207" s="104"/>
      <x:c r="D207" s="104"/>
      <x:c r="E207" s="105"/>
      <x:c r="F207" s="105"/>
      <x:c r="G207" s="104"/>
      <x:c r="H207" s="105"/>
      <x:c r="I207" s="105"/>
      <x:c r="J207" s="105"/>
      <x:c r="K207" s="104"/>
      <x:c r="L207" s="104"/>
      <x:c r="M207" s="104"/>
      <x:c r="N207" s="104"/>
      <x:c r="O207" s="94"/>
      <x:c r="P207" s="94"/>
      <x:c r="Q207" s="95"/>
      <x:c r="R207" s="87"/>
    </x:row>
    <x:row r="208" ht="42" customHeight="1">
      <x:c r="A208" s="104"/>
      <x:c r="B208" s="104"/>
      <x:c r="C208" s="104"/>
      <x:c r="D208" s="104"/>
      <x:c r="E208" s="105"/>
      <x:c r="F208" s="105"/>
      <x:c r="G208" s="104"/>
      <x:c r="H208" s="105"/>
      <x:c r="I208" s="105"/>
      <x:c r="J208" s="105"/>
      <x:c r="K208" s="104"/>
      <x:c r="L208" s="104"/>
      <x:c r="M208" s="104"/>
      <x:c r="N208" s="104"/>
      <x:c r="O208" s="94"/>
      <x:c r="P208" s="94"/>
      <x:c r="Q208" s="95"/>
      <x:c r="R208" s="87"/>
    </x:row>
    <x:row r="209" ht="42" customHeight="1">
      <x:c r="A209" s="104"/>
      <x:c r="B209" s="104"/>
      <x:c r="C209" s="104"/>
      <x:c r="D209" s="104"/>
      <x:c r="E209" s="105"/>
      <x:c r="F209" s="105"/>
      <x:c r="G209" s="104"/>
      <x:c r="H209" s="105"/>
      <x:c r="I209" s="105"/>
      <x:c r="J209" s="105"/>
      <x:c r="K209" s="104"/>
      <x:c r="L209" s="104"/>
      <x:c r="M209" s="104"/>
      <x:c r="N209" s="104"/>
      <x:c r="O209" s="94"/>
      <x:c r="P209" s="94"/>
      <x:c r="Q209" s="95"/>
      <x:c r="R209" s="87"/>
    </x:row>
    <x:row r="210" ht="42" customHeight="1">
      <x:c r="A210" s="103"/>
      <x:c r="B210" s="104"/>
      <x:c r="C210" s="104"/>
      <x:c r="D210" s="104"/>
      <x:c r="E210" s="105"/>
      <x:c r="F210" s="105"/>
      <x:c r="G210" s="104"/>
      <x:c r="H210" s="105"/>
      <x:c r="I210" s="105"/>
      <x:c r="J210" s="105"/>
      <x:c r="K210" s="104"/>
      <x:c r="L210" s="104"/>
      <x:c r="M210" s="104"/>
      <x:c r="N210" s="104"/>
      <x:c r="O210" s="94"/>
      <x:c r="P210" s="94"/>
      <x:c r="Q210" s="95"/>
      <x:c r="R210" s="87"/>
    </x:row>
    <x:row r="211" ht="42" customHeight="1">
      <x:c r="A211" s="104"/>
      <x:c r="B211" s="104"/>
      <x:c r="C211" s="104"/>
      <x:c r="D211" s="104"/>
      <x:c r="E211" s="105"/>
      <x:c r="F211" s="105"/>
      <x:c r="G211" s="104"/>
      <x:c r="H211" s="105"/>
      <x:c r="I211" s="105"/>
      <x:c r="J211" s="105"/>
      <x:c r="K211" s="104"/>
      <x:c r="L211" s="104"/>
      <x:c r="M211" s="104"/>
      <x:c r="N211" s="104"/>
      <x:c r="O211" s="94"/>
      <x:c r="P211" s="94"/>
      <x:c r="Q211" s="95"/>
      <x:c r="R211" s="87"/>
    </x:row>
    <x:row r="212" ht="42" customHeight="1">
      <x:c r="A212" s="104"/>
      <x:c r="B212" s="104"/>
      <x:c r="C212" s="104"/>
      <x:c r="D212" s="104"/>
      <x:c r="E212" s="105"/>
      <x:c r="F212" s="105"/>
      <x:c r="G212" s="104"/>
      <x:c r="H212" s="105"/>
      <x:c r="I212" s="105"/>
      <x:c r="J212" s="105"/>
      <x:c r="K212" s="104"/>
      <x:c r="L212" s="104"/>
      <x:c r="M212" s="104"/>
      <x:c r="N212" s="104"/>
      <x:c r="O212" s="94"/>
      <x:c r="P212" s="94"/>
      <x:c r="Q212" s="95"/>
      <x:c r="R212" s="87"/>
    </x:row>
    <x:row r="213" ht="42" customHeight="1">
      <x:c r="A213" s="104"/>
      <x:c r="B213" s="104"/>
      <x:c r="C213" s="104"/>
      <x:c r="D213" s="104"/>
      <x:c r="E213" s="105"/>
      <x:c r="F213" s="105"/>
      <x:c r="G213" s="104"/>
      <x:c r="H213" s="105"/>
      <x:c r="I213" s="105"/>
      <x:c r="J213" s="105"/>
      <x:c r="K213" s="104"/>
      <x:c r="L213" s="104"/>
      <x:c r="M213" s="104"/>
      <x:c r="N213" s="104"/>
      <x:c r="O213" s="94"/>
      <x:c r="P213" s="94"/>
      <x:c r="Q213" s="95"/>
      <x:c r="R213" s="87"/>
    </x:row>
    <x:row r="214" ht="42" customHeight="1">
      <x:c r="A214" s="104"/>
      <x:c r="B214" s="104"/>
      <x:c r="C214" s="104"/>
      <x:c r="D214" s="104"/>
      <x:c r="E214" s="105"/>
      <x:c r="F214" s="105"/>
      <x:c r="G214" s="104"/>
      <x:c r="H214" s="105"/>
      <x:c r="I214" s="105"/>
      <x:c r="J214" s="105"/>
      <x:c r="K214" s="104"/>
      <x:c r="L214" s="104"/>
      <x:c r="M214" s="104"/>
      <x:c r="N214" s="104"/>
      <x:c r="O214" s="94"/>
      <x:c r="P214" s="94"/>
      <x:c r="Q214" s="95"/>
      <x:c r="R214" s="87"/>
    </x:row>
  </x:sheetData>
  <x:mergeCells>
    <x:mergeCell ref="A1:R1"/>
    <x:mergeCell ref="A2:R2"/>
  </x:mergeCells>
  <x:conditionalFormatting sqref="P5:P214">
    <x:cfRule type="expression" dxfId="0" priority="1">
      <x:formula>P5="확인 필요"</x:formula>
    </x:cfRule>
    <x:cfRule type="expression" dxfId="1" priority="2">
      <x:formula>P5="수정 반영"</x:formula>
    </x:cfRule>
    <x:cfRule type="expression" dxfId="2" priority="3">
      <x:formula>P5="OK"</x:formula>
    </x:cfRule>
    <x:cfRule type="expression" dxfId="3" priority="4">
      <x:formula>P5="조건부"</x:formula>
    </x:cfRule>
    <x:cfRule type="expression" dxfId="4" priority="5">
      <x:formula>P5="권장 확인"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2d32c01bb79411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24" customWidth="1"/>
    <x:col min="2" max="2" width="40" customWidth="1"/>
    <x:col min="3" max="3" width="28" customWidth="1"/>
    <x:col min="4" max="4" width="42" customWidth="1"/>
    <x:col min="5" max="5" width="35" customWidth="1"/>
    <x:col min="6" max="7" width="18" customWidth="1"/>
    <x:col min="8" max="8" width="32" customWidth="1"/>
  </x:cols>
  <x:sheetData>
    <x:row r="1" ht="33.95000076293945" customHeight="1">
      <x:c r="A1" s="16" t="str">
        <x:v>코드값·가중치·검증 규칙</x:v>
      </x:c>
      <x:c r="B1" s="16"/>
      <x:c r="C1" s="16"/>
      <x:c r="D1" s="16"/>
      <x:c r="E1" s="16"/>
      <x:c r="F1" s="16"/>
      <x:c r="G1" s="16"/>
      <x:c r="H1" s="16"/>
    </x:row>
    <x:row r="2" ht="27.950000762939453" customHeight="1">
      <x:c r="A2" s="17" t="str">
        <x:v>Backend·DB·Frontend가 같은 값을 사용하도록 공통 코드와 설문 변환을 고정</x:v>
      </x:c>
      <x:c r="B2" s="17"/>
      <x:c r="C2" s="17"/>
      <x:c r="D2" s="17"/>
      <x:c r="E2" s="17"/>
      <x:c r="F2" s="17"/>
      <x:c r="G2" s="17"/>
      <x:c r="H2" s="17"/>
    </x:row>
    <x:row r="3">
      <x:c r="A3"/>
      <x:c r="B3"/>
      <x:c r="C3"/>
      <x:c r="D3"/>
      <x:c r="E3"/>
      <x:c r="F3"/>
      <x:c r="G3"/>
      <x:c r="H3"/>
    </x:row>
    <x:row r="4" ht="33.95000076293945" customHeight="1">
      <x:c r="A4" s="6" t="str">
        <x:v>구분</x:v>
      </x:c>
      <x:c r="B4" s="6" t="str">
        <x:v>대상 필드</x:v>
      </x:c>
      <x:c r="C4" s="6" t="str">
        <x:v>코드/원점수</x:v>
      </x:c>
      <x:c r="D4" s="6" t="str">
        <x:v>의미</x:v>
      </x:c>
      <x:c r="E4" s="6" t="str">
        <x:v>DB/검증 방식</x:v>
      </x:c>
      <x:c r="F4" s="6" t="str">
        <x:v>라우팅 가중치</x:v>
      </x:c>
      <x:c r="G4" s="6" t="str">
        <x:v>상태</x:v>
      </x:c>
      <x:c r="H4" s="6" t="str">
        <x:v>관련 화면/기능</x:v>
      </x:c>
    </x:row>
    <x:row r="5" ht="42" customHeight="1">
      <x:c r="A5" s="2" t="str">
        <x:v>설문 가중치</x:v>
      </x:c>
      <x:c r="B5" s="2" t="str">
        <x:v>driving_preferences.*_score</x:v>
      </x:c>
      <x:c r="C5" s="2" t="str">
        <x:v>1~2</x:v>
      </x:c>
      <x:c r="D5" s="2" t="str">
        <x:v>낮은 부담</x:v>
      </x:c>
      <x:c r="E5" s="2" t="str">
        <x:v>smallint 원점수 + Backend 매핑</x:v>
      </x:c>
      <x:c r="F5" s="15" t="n">
        <x:v>0.2</x:v>
      </x:c>
      <x:c r="G5" s="7" t="str">
        <x:v>확정</x:v>
      </x:c>
      <x:c r="H5" s="2" t="str">
        <x:v>ONB/경로엔진</x:v>
      </x:c>
    </x:row>
    <x:row r="6" ht="42" customHeight="1">
      <x:c r="A6" s="2" t="str">
        <x:v>설문 가중치</x:v>
      </x:c>
      <x:c r="B6" s="2" t="str">
        <x:v>driving_preferences.*_score</x:v>
      </x:c>
      <x:c r="C6" s="2" t="str">
        <x:v>3</x:v>
      </x:c>
      <x:c r="D6" s="2" t="str">
        <x:v>중간 부담</x:v>
      </x:c>
      <x:c r="E6" s="2" t="str">
        <x:v>smallint 원점수 + Backend 매핑</x:v>
      </x:c>
      <x:c r="F6" s="15" t="n">
        <x:v>0.5</x:v>
      </x:c>
      <x:c r="G6" s="7" t="str">
        <x:v>확정</x:v>
      </x:c>
      <x:c r="H6" s="2" t="str">
        <x:v>ONB/경로엔진</x:v>
      </x:c>
    </x:row>
    <x:row r="7" ht="42" customHeight="1">
      <x:c r="A7" s="2" t="str">
        <x:v>설문 가중치</x:v>
      </x:c>
      <x:c r="B7" s="2" t="str">
        <x:v>driving_preferences.*_score</x:v>
      </x:c>
      <x:c r="C7" s="2" t="str">
        <x:v>4~5</x:v>
      </x:c>
      <x:c r="D7" s="2" t="str">
        <x:v>높은 부담</x:v>
      </x:c>
      <x:c r="E7" s="2" t="str">
        <x:v>smallint 원점수 + Backend 매핑</x:v>
      </x:c>
      <x:c r="F7" s="15" t="n">
        <x:v>1</x:v>
      </x:c>
      <x:c r="G7" s="7" t="str">
        <x:v>확정</x:v>
      </x:c>
      <x:c r="H7" s="2" t="str">
        <x:v>ONB/경로엔진</x:v>
      </x:c>
    </x:row>
    <x:row r="8" ht="42" customHeight="1">
      <x:c r="A8" s="2" t="str">
        <x:v>인증 제공자</x:v>
      </x:c>
      <x:c r="B8" s="2" t="str">
        <x:v>auth_accounts.provider</x:v>
      </x:c>
      <x:c r="C8" s="2" t="str">
        <x:v>local</x:v>
      </x:c>
      <x:c r="D8" s="2" t="str">
        <x:v>자체 아이디/이메일 로그인</x:v>
      </x:c>
      <x:c r="E8" s="2" t="str">
        <x:v>CHECK/ENUM</x:v>
      </x:c>
      <x:c r="F8" s="2" t="str">
        <x:v>-</x:v>
      </x:c>
      <x:c r="G8" s="7" t="str">
        <x:v>확정</x:v>
      </x:c>
      <x:c r="H8" s="2" t="str">
        <x:v>AUTH/A-MEMBER</x:v>
      </x:c>
    </x:row>
    <x:row r="9" ht="42" customHeight="1">
      <x:c r="A9" s="2" t="str">
        <x:v>인증 제공자</x:v>
      </x:c>
      <x:c r="B9" s="2" t="str">
        <x:v>auth_accounts.provider</x:v>
      </x:c>
      <x:c r="C9" s="2" t="str">
        <x:v>naver</x:v>
      </x:c>
      <x:c r="D9" s="2" t="str">
        <x:v>네이버 OAuth</x:v>
      </x:c>
      <x:c r="E9" s="2" t="str">
        <x:v>CHECK/ENUM</x:v>
      </x:c>
      <x:c r="F9" s="2" t="str">
        <x:v>-</x:v>
      </x:c>
      <x:c r="G9" s="7" t="str">
        <x:v>확정</x:v>
      </x:c>
      <x:c r="H9" s="2" t="str">
        <x:v>AUTH/A-MEMBER</x:v>
      </x:c>
    </x:row>
    <x:row r="10" ht="42" customHeight="1">
      <x:c r="A10" s="2" t="str">
        <x:v>인증 제공자</x:v>
      </x:c>
      <x:c r="B10" s="2" t="str">
        <x:v>auth_accounts.provider</x:v>
      </x:c>
      <x:c r="C10" s="2" t="str">
        <x:v>kakao</x:v>
      </x:c>
      <x:c r="D10" s="2" t="str">
        <x:v>카카오 OAuth</x:v>
      </x:c>
      <x:c r="E10" s="2" t="str">
        <x:v>CHECK/ENUM</x:v>
      </x:c>
      <x:c r="F10" s="2" t="str">
        <x:v>-</x:v>
      </x:c>
      <x:c r="G10" s="7" t="str">
        <x:v>확정</x:v>
      </x:c>
      <x:c r="H10" s="2" t="str">
        <x:v>AUTH/A-MEMBER</x:v>
      </x:c>
    </x:row>
    <x:row r="11" ht="42" customHeight="1">
      <x:c r="A11" s="2" t="str">
        <x:v>인증 제공자</x:v>
      </x:c>
      <x:c r="B11" s="2" t="str">
        <x:v>auth_accounts.provider</x:v>
      </x:c>
      <x:c r="C11" s="2" t="str">
        <x:v>google</x:v>
      </x:c>
      <x:c r="D11" s="2" t="str">
        <x:v>구글 OAuth</x:v>
      </x:c>
      <x:c r="E11" s="2" t="str">
        <x:v>CHECK/ENUM</x:v>
      </x:c>
      <x:c r="F11" s="2" t="str">
        <x:v>-</x:v>
      </x:c>
      <x:c r="G11" s="7" t="str">
        <x:v>확정</x:v>
      </x:c>
      <x:c r="H11" s="2" t="str">
        <x:v>AUTH/A-MEMBER</x:v>
      </x:c>
    </x:row>
    <x:row r="12" ht="42" customHeight="1">
      <x:c r="A12" s="2" t="str">
        <x:v>회원 활성 여부</x:v>
      </x:c>
      <x:c r="B12" s="2" t="str">
        <x:v>users.is_active</x:v>
      </x:c>
      <x:c r="C12" s="2" t="str">
        <x:v>true</x:v>
      </x:c>
      <x:c r="D12" s="2" t="str">
        <x:v>활성 회원</x:v>
      </x:c>
      <x:c r="E12" s="2" t="str">
        <x:v>boolean DEFAULT true</x:v>
      </x:c>
      <x:c r="F12" s="2" t="str">
        <x:v>-</x:v>
      </x:c>
      <x:c r="G12" s="2" t="str">
        <x:v>확정</x:v>
      </x:c>
      <x:c r="H12" s="2" t="str">
        <x:v>AUTH/MY/A-MEMBER</x:v>
      </x:c>
    </x:row>
    <x:row r="13" ht="42" customHeight="1">
      <x:c r="A13" s="2" t="str">
        <x:v>회원 활성 여부</x:v>
      </x:c>
      <x:c r="B13" s="2" t="str">
        <x:v>users.is_active</x:v>
      </x:c>
      <x:c r="C13" s="2" t="str">
        <x:v>false</x:v>
      </x:c>
      <x:c r="D13" s="2" t="str">
        <x:v>탈퇴 회원</x:v>
      </x:c>
      <x:c r="E13" s="2" t="str">
        <x:v>boolean</x:v>
      </x:c>
      <x:c r="F13" s="2" t="str">
        <x:v>-</x:v>
      </x:c>
      <x:c r="G13" s="2" t="str">
        <x:v>확정</x:v>
      </x:c>
      <x:c r="H13" s="2" t="str">
        <x:v>MY/A-MEMBER</x:v>
      </x:c>
    </x:row>
    <x:row r="14" ht="42" customHeight="1">
      <x:c r="A14" s="2" t="str">
        <x:v>관리자 역할</x:v>
      </x:c>
      <x:c r="B14" s="2" t="str">
        <x:v>admins.role</x:v>
      </x:c>
      <x:c r="C14" s="2" t="str">
        <x:v>super_admin</x:v>
      </x:c>
      <x:c r="D14" s="2" t="str">
        <x:v>관리자 권한 부여·회수 가능</x:v>
      </x:c>
      <x:c r="E14" s="2" t="str">
        <x:v>CHECK/ENUM</x:v>
      </x:c>
      <x:c r="F14" s="2" t="str">
        <x:v>-</x:v>
      </x:c>
      <x:c r="G14" s="2" t="str">
        <x:v>확정</x:v>
      </x:c>
      <x:c r="H14" s="2" t="str">
        <x:v>A-ADMIN</x:v>
      </x:c>
    </x:row>
    <x:row r="15" ht="42" customHeight="1">
      <x:c r="A15" s="2" t="str">
        <x:v>관리자 역할</x:v>
      </x:c>
      <x:c r="B15" s="2" t="str">
        <x:v>admins.role</x:v>
      </x:c>
      <x:c r="C15" s="2" t="str">
        <x:v>admin</x:v>
      </x:c>
      <x:c r="D15" s="2" t="str">
        <x:v>운영 조회 권한</x:v>
      </x:c>
      <x:c r="E15" s="2" t="str">
        <x:v>CHECK/ENUM</x:v>
      </x:c>
      <x:c r="F15" s="2" t="str">
        <x:v>-</x:v>
      </x:c>
      <x:c r="G15" s="2" t="str">
        <x:v>확정</x:v>
      </x:c>
      <x:c r="H15" s="2" t="str">
        <x:v>관리자</x:v>
      </x:c>
    </x:row>
    <x:row r="16" ht="42" customHeight="1">
      <x:c r="A16" s="2" t="str">
        <x:v>경로 상태</x:v>
      </x:c>
      <x:c r="B16" s="2" t="str">
        <x:v>route_requests.status</x:v>
      </x:c>
      <x:c r="C16" s="2" t="str">
        <x:v>queued</x:v>
      </x:c>
      <x:c r="D16" s="2" t="str">
        <x:v>요청 접수</x:v>
      </x:c>
      <x:c r="E16" s="2" t="str">
        <x:v>CHECK/ENUM</x:v>
      </x:c>
      <x:c r="F16" s="2" t="str">
        <x:v>-</x:v>
      </x:c>
      <x:c r="G16" s="7" t="str">
        <x:v>설계권장</x:v>
      </x:c>
      <x:c r="H16" s="2" t="str">
        <x:v>ROUTE-003</x:v>
      </x:c>
    </x:row>
    <x:row r="17" ht="42" customHeight="1">
      <x:c r="A17" s="2" t="str">
        <x:v>경로 상태</x:v>
      </x:c>
      <x:c r="B17" s="2" t="str">
        <x:v>route_requests.status</x:v>
      </x:c>
      <x:c r="C17" s="2" t="str">
        <x:v>processing</x:v>
      </x:c>
      <x:c r="D17" s="2" t="str">
        <x:v>계산 중</x:v>
      </x:c>
      <x:c r="E17" s="2" t="str">
        <x:v>CHECK/ENUM</x:v>
      </x:c>
      <x:c r="F17" s="2" t="str">
        <x:v>-</x:v>
      </x:c>
      <x:c r="G17" s="7" t="str">
        <x:v>설계권장</x:v>
      </x:c>
      <x:c r="H17" s="2" t="str">
        <x:v>ROUTE-003</x:v>
      </x:c>
    </x:row>
    <x:row r="18" ht="42" customHeight="1">
      <x:c r="A18" s="2" t="str">
        <x:v>경로 상태</x:v>
      </x:c>
      <x:c r="B18" s="2" t="str">
        <x:v>route_requests.status</x:v>
      </x:c>
      <x:c r="C18" s="2" t="str">
        <x:v>success</x:v>
      </x:c>
      <x:c r="D18" s="2" t="str">
        <x:v>후보 생성 성공</x:v>
      </x:c>
      <x:c r="E18" s="2" t="str">
        <x:v>CHECK/ENUM</x:v>
      </x:c>
      <x:c r="F18" s="2" t="str">
        <x:v>-</x:v>
      </x:c>
      <x:c r="G18" s="2" t="str">
        <x:v>확정</x:v>
      </x:c>
      <x:c r="H18" s="2" t="str">
        <x:v>ROUTE/A-ROUTE</x:v>
      </x:c>
    </x:row>
    <x:row r="19" ht="42" customHeight="1">
      <x:c r="A19" s="2" t="str">
        <x:v>경로 상태</x:v>
      </x:c>
      <x:c r="B19" s="2" t="str">
        <x:v>route_requests.status</x:v>
      </x:c>
      <x:c r="C19" s="2" t="str">
        <x:v>failed</x:v>
      </x:c>
      <x:c r="D19" s="2" t="str">
        <x:v>경로 생성 실패</x:v>
      </x:c>
      <x:c r="E19" s="2" t="str">
        <x:v>CHECK/ENUM</x:v>
      </x:c>
      <x:c r="F19" s="2" t="str">
        <x:v>-</x:v>
      </x:c>
      <x:c r="G19" s="2" t="str">
        <x:v>확정</x:v>
      </x:c>
      <x:c r="H19" s="2" t="str">
        <x:v>ROUTE/A-ROUTE</x:v>
      </x:c>
    </x:row>
    <x:row r="20" ht="42" customHeight="1">
      <x:c r="A20" s="2" t="str">
        <x:v>경로 후보</x:v>
      </x:c>
      <x:c r="B20" s="2" t="str">
        <x:v>route_candidates.route_type</x:v>
      </x:c>
      <x:c r="C20" s="2" t="str">
        <x:v>safe</x:v>
      </x:c>
      <x:c r="D20" s="2" t="str">
        <x:v>사용자 부담 가중 안심경로</x:v>
      </x:c>
      <x:c r="E20" s="2" t="str">
        <x:v>CHECK/ENUM</x:v>
      </x:c>
      <x:c r="F20" s="2" t="str">
        <x:v>-</x:v>
      </x:c>
      <x:c r="G20" s="7" t="str">
        <x:v>확정</x:v>
      </x:c>
      <x:c r="H20" s="2" t="str">
        <x:v>ROUTE-004</x:v>
      </x:c>
    </x:row>
    <x:row r="21" ht="42" customHeight="1">
      <x:c r="A21" s="2" t="str">
        <x:v>경로 후보</x:v>
      </x:c>
      <x:c r="B21" s="2" t="str">
        <x:v>route_candidates.route_type</x:v>
      </x:c>
      <x:c r="C21" s="2" t="str">
        <x:v>fastest</x:v>
      </x:c>
      <x:c r="D21" s="2" t="str">
        <x:v>최단시간</x:v>
      </x:c>
      <x:c r="E21" s="2" t="str">
        <x:v>CHECK/ENUM</x:v>
      </x:c>
      <x:c r="F21" s="2" t="str">
        <x:v>-</x:v>
      </x:c>
      <x:c r="G21" s="7" t="str">
        <x:v>확정</x:v>
      </x:c>
      <x:c r="H21" s="2" t="str">
        <x:v>ROUTE-004</x:v>
      </x:c>
    </x:row>
    <x:row r="22" ht="42" customHeight="1">
      <x:c r="A22" s="2" t="str">
        <x:v>경로 후보</x:v>
      </x:c>
      <x:c r="B22" s="2" t="str">
        <x:v>route_candidates.route_type</x:v>
      </x:c>
      <x:c r="C22" s="2" t="str">
        <x:v>shortest</x:v>
      </x:c>
      <x:c r="D22" s="2" t="str">
        <x:v>최단거리</x:v>
      </x:c>
      <x:c r="E22" s="2" t="str">
        <x:v>CHECK/ENUM</x:v>
      </x:c>
      <x:c r="F22" s="2" t="str">
        <x:v>-</x:v>
      </x:c>
      <x:c r="G22" s="7" t="str">
        <x:v>확정</x:v>
      </x:c>
      <x:c r="H22" s="2" t="str">
        <x:v>ROUTE-004</x:v>
      </x:c>
    </x:row>
    <x:row r="23" ht="42" customHeight="1">
      <x:c r="A23" s="2" t="str">
        <x:v>최대 우회시간</x:v>
      </x:c>
      <x:c r="B23" s="2" t="str">
        <x:v>route_requests.max_detour_minutes</x:v>
      </x:c>
      <x:c r="C23" s="2" t="str">
        <x:v>10</x:v>
      </x:c>
      <x:c r="D23" s="2" t="str">
        <x:v>최대 10분</x:v>
      </x:c>
      <x:c r="E23" s="2" t="str">
        <x:v>CHECK IN</x:v>
      </x:c>
      <x:c r="F23" s="2" t="str">
        <x:v>-</x:v>
      </x:c>
      <x:c r="G23" s="7" t="str">
        <x:v>확정</x:v>
      </x:c>
      <x:c r="H23" s="2" t="str">
        <x:v>ROUTE-001</x:v>
      </x:c>
    </x:row>
    <x:row r="24" ht="42" customHeight="1">
      <x:c r="A24" s="2" t="str">
        <x:v>최대 우회시간</x:v>
      </x:c>
      <x:c r="B24" s="2" t="str">
        <x:v>route_requests.max_detour_minutes</x:v>
      </x:c>
      <x:c r="C24" s="2" t="str">
        <x:v>20</x:v>
      </x:c>
      <x:c r="D24" s="2" t="str">
        <x:v>최대 20분</x:v>
      </x:c>
      <x:c r="E24" s="2" t="str">
        <x:v>CHECK IN</x:v>
      </x:c>
      <x:c r="F24" s="2" t="str">
        <x:v>-</x:v>
      </x:c>
      <x:c r="G24" s="7" t="str">
        <x:v>확정</x:v>
      </x:c>
      <x:c r="H24" s="2" t="str">
        <x:v>ROUTE-001</x:v>
      </x:c>
    </x:row>
    <x:row r="25" ht="42" customHeight="1">
      <x:c r="A25" s="2" t="str">
        <x:v>최대 우회시간</x:v>
      </x:c>
      <x:c r="B25" s="2" t="str">
        <x:v>route_requests.max_detour_minutes</x:v>
      </x:c>
      <x:c r="C25" s="2" t="str">
        <x:v>30</x:v>
      </x:c>
      <x:c r="D25" s="2" t="str">
        <x:v>최대 30분</x:v>
      </x:c>
      <x:c r="E25" s="2" t="str">
        <x:v>CHECK IN</x:v>
      </x:c>
      <x:c r="F25" s="2" t="str">
        <x:v>-</x:v>
      </x:c>
      <x:c r="G25" s="7" t="str">
        <x:v>확정</x:v>
      </x:c>
      <x:c r="H25" s="2" t="str">
        <x:v>ROUTE-001</x:v>
      </x:c>
    </x:row>
    <x:row r="26" ht="42" customHeight="1">
      <x:c r="A26" s="2" t="str">
        <x:v>최대 우회시간</x:v>
      </x:c>
      <x:c r="B26" s="2" t="str">
        <x:v>route_requests.max_detour_minutes</x:v>
      </x:c>
      <x:c r="C26" s="2" t="str">
        <x:v>60</x:v>
      </x:c>
      <x:c r="D26" s="2" t="str">
        <x:v>최대 60분</x:v>
      </x:c>
      <x:c r="E26" s="2" t="str">
        <x:v>CHECK IN</x:v>
      </x:c>
      <x:c r="F26" s="2" t="str">
        <x:v>-</x:v>
      </x:c>
      <x:c r="G26" s="7" t="str">
        <x:v>확정</x:v>
      </x:c>
      <x:c r="H26" s="2" t="str">
        <x:v>ROUTE-001</x:v>
      </x:c>
    </x:row>
    <x:row r="27" ht="42" customHeight="1">
      <x:c r="A27" s="2" t="str">
        <x:v>저장 장소</x:v>
      </x:c>
      <x:c r="B27" s="2" t="str">
        <x:v>favorite_places.place_type</x:v>
      </x:c>
      <x:c r="C27" s="2" t="str">
        <x:v>home</x:v>
      </x:c>
      <x:c r="D27" s="2" t="str">
        <x:v>집</x:v>
      </x:c>
      <x:c r="E27" s="2" t="str">
        <x:v>CHECK/ENUM</x:v>
      </x:c>
      <x:c r="F27" s="2" t="str">
        <x:v>-</x:v>
      </x:c>
      <x:c r="G27" s="7" t="str">
        <x:v>확정</x:v>
      </x:c>
      <x:c r="H27" s="2" t="str">
        <x:v>HOME/SAVE</x:v>
      </x:c>
    </x:row>
    <x:row r="28" ht="42" customHeight="1">
      <x:c r="A28" s="2" t="str">
        <x:v>저장 장소</x:v>
      </x:c>
      <x:c r="B28" s="2" t="str">
        <x:v>favorite_places.place_type</x:v>
      </x:c>
      <x:c r="C28" s="2" t="str">
        <x:v>work</x:v>
      </x:c>
      <x:c r="D28" s="2" t="str">
        <x:v>회사</x:v>
      </x:c>
      <x:c r="E28" s="2" t="str">
        <x:v>CHECK/ENUM</x:v>
      </x:c>
      <x:c r="F28" s="2" t="str">
        <x:v>-</x:v>
      </x:c>
      <x:c r="G28" s="7" t="str">
        <x:v>확정</x:v>
      </x:c>
      <x:c r="H28" s="2" t="str">
        <x:v>HOME/SAVE</x:v>
      </x:c>
    </x:row>
    <x:row r="29" ht="42" customHeight="1">
      <x:c r="A29" s="2" t="str">
        <x:v>저장 장소</x:v>
      </x:c>
      <x:c r="B29" s="2" t="str">
        <x:v>favorite_places.place_type</x:v>
      </x:c>
      <x:c r="C29" s="2" t="str">
        <x:v>custom</x:v>
      </x:c>
      <x:c r="D29" s="2" t="str">
        <x:v>일반 저장 장소</x:v>
      </x:c>
      <x:c r="E29" s="2" t="str">
        <x:v>CHECK/ENUM</x:v>
      </x:c>
      <x:c r="F29" s="2" t="str">
        <x:v>-</x:v>
      </x:c>
      <x:c r="G29" s="7" t="str">
        <x:v>확정</x:v>
      </x:c>
      <x:c r="H29" s="2" t="str">
        <x:v>SAVE</x:v>
      </x:c>
    </x:row>
    <x:row r="30" ht="42" customHeight="1">
      <x:c r="A30" s="2" t="str">
        <x:v>데이터 종류</x:v>
      </x:c>
      <x:c r="B30" s="2" t="str">
        <x:v>data_update_logs.dataset_type</x:v>
      </x:c>
      <x:c r="C30" s="2" t="str">
        <x:v>taas</x:v>
      </x:c>
      <x:c r="D30" s="2" t="str">
        <x:v>TAAS 사고 데이터</x:v>
      </x:c>
      <x:c r="E30" s="2" t="str">
        <x:v>CHECK/ENUM</x:v>
      </x:c>
      <x:c r="F30" s="2" t="str">
        <x:v>-</x:v>
      </x:c>
      <x:c r="G30" s="7" t="str">
        <x:v>확정</x:v>
      </x:c>
      <x:c r="H30" s="2" t="str">
        <x:v>A-DATA</x:v>
      </x:c>
    </x:row>
    <x:row r="31" ht="42" customHeight="1">
      <x:c r="A31" s="2" t="str">
        <x:v>데이터 종류</x:v>
      </x:c>
      <x:c r="B31" s="2" t="str">
        <x:v>data_update_logs.dataset_type</x:v>
      </x:c>
      <x:c r="C31" s="2" t="str">
        <x:v>standard_node_link</x:v>
      </x:c>
      <x:c r="D31" s="2" t="str">
        <x:v>표준노드링크</x:v>
      </x:c>
      <x:c r="E31" s="2" t="str">
        <x:v>CHECK/ENUM</x:v>
      </x:c>
      <x:c r="F31" s="2" t="str">
        <x:v>-</x:v>
      </x:c>
      <x:c r="G31" s="7" t="str">
        <x:v>확정</x:v>
      </x:c>
      <x:c r="H31" s="2" t="str">
        <x:v>A-DATA</x:v>
      </x:c>
    </x:row>
    <x:row r="32" ht="42" customHeight="1">
      <x:c r="A32" s="2" t="str">
        <x:v>갱신 상태</x:v>
      </x:c>
      <x:c r="B32" s="2" t="str">
        <x:v>data_update_logs.status</x:v>
      </x:c>
      <x:c r="C32" s="2" t="str">
        <x:v>running</x:v>
      </x:c>
      <x:c r="D32" s="2" t="str">
        <x:v>갱신 실행 중</x:v>
      </x:c>
      <x:c r="E32" s="2" t="str">
        <x:v>CHECK/ENUM</x:v>
      </x:c>
      <x:c r="F32" s="2" t="str">
        <x:v>-</x:v>
      </x:c>
      <x:c r="G32" s="7" t="str">
        <x:v>설계권장</x:v>
      </x:c>
      <x:c r="H32" s="2" t="str">
        <x:v>A-DATA</x:v>
      </x:c>
    </x:row>
    <x:row r="33" ht="42" customHeight="1">
      <x:c r="A33" s="2" t="str">
        <x:v>갱신 상태</x:v>
      </x:c>
      <x:c r="B33" s="2" t="str">
        <x:v>data_update_logs.status</x:v>
      </x:c>
      <x:c r="C33" s="2" t="str">
        <x:v>completed</x:v>
      </x:c>
      <x:c r="D33" s="2" t="str">
        <x:v>전체 처리 완료</x:v>
      </x:c>
      <x:c r="E33" s="2" t="str">
        <x:v>CHECK/ENUM</x:v>
      </x:c>
      <x:c r="F33" s="2" t="str">
        <x:v>-</x:v>
      </x:c>
      <x:c r="G33" s="7" t="str">
        <x:v>설계권장</x:v>
      </x:c>
      <x:c r="H33" s="2" t="str">
        <x:v>A-DATA</x:v>
      </x:c>
    </x:row>
    <x:row r="34" ht="42" customHeight="1">
      <x:c r="A34" s="2" t="str">
        <x:v>갱신 상태</x:v>
      </x:c>
      <x:c r="B34" s="2" t="str">
        <x:v>data_update_logs.status</x:v>
      </x:c>
      <x:c r="C34" s="2" t="str">
        <x:v>partial_failed</x:v>
      </x:c>
      <x:c r="D34" s="2" t="str">
        <x:v>일부 실패</x:v>
      </x:c>
      <x:c r="E34" s="2" t="str">
        <x:v>CHECK/ENUM</x:v>
      </x:c>
      <x:c r="F34" s="2" t="str">
        <x:v>-</x:v>
      </x:c>
      <x:c r="G34" s="2" t="str">
        <x:v>설계권장</x:v>
      </x:c>
      <x:c r="H34" s="2" t="str">
        <x:v>A-DATA</x:v>
      </x:c>
    </x:row>
    <x:row r="35" ht="42" customHeight="1">
      <x:c r="A35" s="2" t="str">
        <x:v>갱신 상태</x:v>
      </x:c>
      <x:c r="B35" s="2" t="str">
        <x:v>data_update_logs.status</x:v>
      </x:c>
      <x:c r="C35" s="2" t="str">
        <x:v>failed</x:v>
      </x:c>
      <x:c r="D35" s="2" t="str">
        <x:v>실행 실패</x:v>
      </x:c>
      <x:c r="E35" s="2" t="str">
        <x:v>CHECK/ENUM</x:v>
      </x:c>
      <x:c r="F35" s="2" t="str">
        <x:v>-</x:v>
      </x:c>
      <x:c r="G35" s="2" t="str">
        <x:v>설계권장</x:v>
      </x:c>
      <x:c r="H35" s="2" t="str">
        <x:v>A-DATA</x:v>
      </x:c>
    </x:row>
    <x:row r="36" ht="42" customHeight="1">
      <x:c r="A36" s="2" t="str">
        <x:v>문의 상태</x:v>
      </x:c>
      <x:c r="B36" s="2" t="str">
        <x:v>inquiries.status</x:v>
      </x:c>
      <x:c r="C36" s="2" t="str">
        <x:v>received</x:v>
      </x:c>
      <x:c r="D36" s="2" t="str">
        <x:v>접수</x:v>
      </x:c>
      <x:c r="E36" s="2" t="str">
        <x:v>CHECK/ENUM</x:v>
      </x:c>
      <x:c r="F36" s="2" t="str">
        <x:v>-</x:v>
      </x:c>
      <x:c r="G36" s="2" t="str">
        <x:v>설계권장</x:v>
      </x:c>
      <x:c r="H36" s="2" t="str">
        <x:v>SUPPORT-006</x:v>
      </x:c>
    </x:row>
    <x:row r="37" ht="42" customHeight="1">
      <x:c r="A37" s="2" t="str">
        <x:v>문의 상태</x:v>
      </x:c>
      <x:c r="B37" s="2" t="str">
        <x:v>inquiries.status</x:v>
      </x:c>
      <x:c r="C37" s="2" t="str">
        <x:v>in_review</x:v>
      </x:c>
      <x:c r="D37" s="2" t="str">
        <x:v>확인 중</x:v>
      </x:c>
      <x:c r="E37" s="2" t="str">
        <x:v>CHECK/ENUM</x:v>
      </x:c>
      <x:c r="F37" s="2" t="str">
        <x:v>-</x:v>
      </x:c>
      <x:c r="G37" s="2" t="str">
        <x:v>설계권장</x:v>
      </x:c>
      <x:c r="H37" s="2" t="str">
        <x:v>후속 운영</x:v>
      </x:c>
    </x:row>
    <x:row r="38" ht="42" customHeight="1">
      <x:c r="A38" s="2" t="str">
        <x:v>문의 상태</x:v>
      </x:c>
      <x:c r="B38" s="2" t="str">
        <x:v>inquiries.status</x:v>
      </x:c>
      <x:c r="C38" s="2" t="str">
        <x:v>answered</x:v>
      </x:c>
      <x:c r="D38" s="2" t="str">
        <x:v>답변 완료</x:v>
      </x:c>
      <x:c r="E38" s="2" t="str">
        <x:v>CHECK/ENUM</x:v>
      </x:c>
      <x:c r="F38" s="2" t="str">
        <x:v>-</x:v>
      </x:c>
      <x:c r="G38" s="2" t="str">
        <x:v>설계권장</x:v>
      </x:c>
      <x:c r="H38" s="2" t="str">
        <x:v>후속 운영</x:v>
      </x:c>
    </x:row>
    <x:row r="39" ht="42" customHeight="1">
      <x:c r="A39" s="2" t="str">
        <x:v>실패 코드</x:v>
      </x:c>
      <x:c r="B39" s="2" t="str">
        <x:v>route_requests.failure_code</x:v>
      </x:c>
      <x:c r="C39" s="2" t="str">
        <x:v>OUT_OF_SERVICE_AREA</x:v>
      </x:c>
      <x:c r="D39" s="2" t="str">
        <x:v>강남구 서비스 범위 밖</x:v>
      </x:c>
      <x:c r="E39" s="2" t="str">
        <x:v>varchar code</x:v>
      </x:c>
      <x:c r="F39" s="2" t="str">
        <x:v>-</x:v>
      </x:c>
      <x:c r="G39" s="2" t="str">
        <x:v>설계권장</x:v>
      </x:c>
      <x:c r="H39" s="2" t="str">
        <x:v>ROUTE/A-ROUTE</x:v>
      </x:c>
    </x:row>
    <x:row r="40" ht="42" customHeight="1">
      <x:c r="A40" s="2" t="str">
        <x:v>실패 코드</x:v>
      </x:c>
      <x:c r="B40" s="2" t="str">
        <x:v>route_requests.failure_code</x:v>
      </x:c>
      <x:c r="C40" s="2" t="str">
        <x:v>NO_ROUTE</x:v>
      </x:c>
      <x:c r="D40" s="2" t="str">
        <x:v>조건에 맞는 경로 없음</x:v>
      </x:c>
      <x:c r="E40" s="2" t="str">
        <x:v>varchar code</x:v>
      </x:c>
      <x:c r="F40" s="2" t="str">
        <x:v>-</x:v>
      </x:c>
      <x:c r="G40" s="2" t="str">
        <x:v>설계권장</x:v>
      </x:c>
      <x:c r="H40" s="2" t="str">
        <x:v>ROUTE/A-ROUTE</x:v>
      </x:c>
    </x:row>
    <x:row r="41" ht="42" customHeight="1">
      <x:c r="A41" s="2" t="str">
        <x:v>실패 코드</x:v>
      </x:c>
      <x:c r="B41" s="2" t="str">
        <x:v>route_requests.failure_code</x:v>
      </x:c>
      <x:c r="C41" s="2" t="str">
        <x:v>MAP_API_ERROR</x:v>
      </x:c>
      <x:c r="D41" s="2" t="str">
        <x:v>Kakao API 오류</x:v>
      </x:c>
      <x:c r="E41" s="2" t="str">
        <x:v>varchar code</x:v>
      </x:c>
      <x:c r="F41" s="2" t="str">
        <x:v>-</x:v>
      </x:c>
      <x:c r="G41" s="2" t="str">
        <x:v>설계권장</x:v>
      </x:c>
      <x:c r="H41" s="2" t="str">
        <x:v>ROUTE/A-ROUTE</x:v>
      </x:c>
    </x:row>
    <x:row r="42" ht="42" customHeight="1">
      <x:c r="A42" s="2" t="str">
        <x:v>실패 코드</x:v>
      </x:c>
      <x:c r="B42" s="2" t="str">
        <x:v>route_requests.failure_code</x:v>
      </x:c>
      <x:c r="C42" s="2" t="str">
        <x:v>DATA_NOT_READY</x:v>
      </x:c>
      <x:c r="D42" s="2" t="str">
        <x:v>원천데이터 준비 안 됨</x:v>
      </x:c>
      <x:c r="E42" s="2" t="str">
        <x:v>varchar code</x:v>
      </x:c>
      <x:c r="F42" s="2" t="str">
        <x:v>-</x:v>
      </x:c>
      <x:c r="G42" s="2" t="str">
        <x:v>설계권장</x:v>
      </x:c>
      <x:c r="H42" s="2" t="str">
        <x:v>ROUTE/A-ROUTE</x:v>
      </x:c>
    </x:row>
    <x:row r="43" ht="42" customHeight="1">
      <x:c r="A43" s="2" t="str">
        <x:v>실패 코드</x:v>
      </x:c>
      <x:c r="B43" s="2" t="str">
        <x:v>route_requests.failure_code</x:v>
      </x:c>
      <x:c r="C43" s="2" t="str">
        <x:v>ENGINE_TIMEOUT</x:v>
      </x:c>
      <x:c r="D43" s="2" t="str">
        <x:v>경로엔진 시간 초과</x:v>
      </x:c>
      <x:c r="E43" s="2" t="str">
        <x:v>varchar code</x:v>
      </x:c>
      <x:c r="F43" s="2" t="str">
        <x:v>-</x:v>
      </x:c>
      <x:c r="G43" s="2" t="str">
        <x:v>설계권장</x:v>
      </x:c>
      <x:c r="H43" s="2" t="str">
        <x:v>ROUTE/A-ROUTE</x:v>
      </x:c>
    </x:row>
    <x:row r="44" ht="42" customHeight="1">
      <x:c r="A44" s="2" t="str">
        <x:v>실패 코드</x:v>
      </x:c>
      <x:c r="B44" s="2" t="str">
        <x:v>route_requests.failure_code</x:v>
      </x:c>
      <x:c r="C44" s="2" t="str">
        <x:v>INTERNAL_ERROR</x:v>
      </x:c>
      <x:c r="D44" s="2" t="str">
        <x:v>기타 서버 오류</x:v>
      </x:c>
      <x:c r="E44" s="2" t="str">
        <x:v>varchar code</x:v>
      </x:c>
      <x:c r="F44" s="2" t="str">
        <x:v>-</x:v>
      </x:c>
      <x:c r="G44" s="2" t="str">
        <x:v>설계권장</x:v>
      </x:c>
      <x:c r="H44" s="2" t="str">
        <x:v>ROUTE/A-ROUTE</x:v>
      </x:c>
    </x:row>
    <x:row r="45" ht="42" customHeight="1">
      <x:c r="A45" s="2" t="str">
        <x:v>입력 정규식</x:v>
      </x:c>
      <x:c r="B45" s="2" t="str">
        <x:v>users.username</x:v>
      </x:c>
      <x:c r="C45" s="2" t="str">
        <x:v>^[a-z][a-z0-9_]{4,19}$</x:v>
      </x:c>
      <x:c r="D45" s="2" t="str">
        <x:v>영문 소문자로 시작, 소문자/숫자/_ 조합, 5~20자</x:v>
      </x:c>
      <x:c r="E45" s="2" t="str">
        <x:v>Backend + DB CHECK</x:v>
      </x:c>
      <x:c r="F45" s="2" t="str">
        <x:v>-</x:v>
      </x:c>
      <x:c r="G45" s="2" t="str">
        <x:v>확정</x:v>
      </x:c>
      <x:c r="H45" s="2" t="str">
        <x:v>AUTH-003</x:v>
      </x:c>
    </x:row>
    <x:row r="46" ht="42" customHeight="1">
      <x:c r="A46" s="2" t="str">
        <x:v>입력 정규식</x:v>
      </x:c>
      <x:c r="B46" s="2" t="str">
        <x:v>email</x:v>
      </x:c>
      <x:c r="C46" s="2" t="str">
        <x:v>^[a-zA-Z0-9._%+-]+@[a-zA-Z0-9.-]+\.[a-zA-Z]{2,}$</x:v>
      </x:c>
      <x:c r="D46" s="2" t="str">
        <x:v>일반 이메일 형식; 저장 전 trim + lowercase</x:v>
      </x:c>
      <x:c r="E46" s="2" t="str">
        <x:v>Backend 검증 + DB lowercase CHECK + UNIQUE</x:v>
      </x:c>
      <x:c r="F46" s="2" t="str">
        <x:v>-</x:v>
      </x:c>
      <x:c r="G46" s="2" t="str">
        <x:v>확정</x:v>
      </x:c>
      <x:c r="H46" s="2" t="str">
        <x:v>AUTH/A-AUTH</x:v>
      </x:c>
    </x:row>
    <x:row r="47">
      <x:c r="A47" t="str">
        <x:v>입력 정규식</x:v>
      </x:c>
      <x:c r="B47" t="str">
        <x:v>password (원문)</x:v>
      </x:c>
      <x:c r="C47" t="str">
        <x:v>^(?=.*[A-Za-z])(?=.*\d)(?=.*[!@#$%^&amp;*()_+\-=\[\]{};':"\\|,.&lt;&gt;/?])(?!.*\s).{8,20}$</x:v>
      </x:c>
      <x:c r="D47" t="str">
        <x:v>영문+숫자+특수문자 각 1개 이상, 공백 금지, 8~20자</x:v>
      </x:c>
      <x:c r="E47" t="str">
        <x:v>Backend에서 hash 전 검증; DB에는 hash만 저장</x:v>
      </x:c>
      <x:c r="F47" t="str">
        <x:v>-</x:v>
      </x:c>
      <x:c r="G47" t="str">
        <x:v>확정</x:v>
      </x:c>
      <x:c r="H47" t="str">
        <x:v>AUTH-003/006</x:v>
      </x:c>
    </x:row>
    <x:row r="48">
      <x:c r="A48" t="str">
        <x:v>입력 정규식</x:v>
      </x:c>
      <x:c r="B48" t="str">
        <x:v>users.nickname</x:v>
      </x:c>
      <x:c r="C48" t="str">
        <x:v>^[가-힣a-zA-Z0-9]{2,10}$</x:v>
      </x:c>
      <x:c r="D48" t="str">
        <x:v>한글/영문/숫자 2~10자, 특수문자·공백 불가</x:v>
      </x:c>
      <x:c r="E48" t="str">
        <x:v>Backend + DB CHECK</x:v>
      </x:c>
      <x:c r="F48" t="str">
        <x:v>-</x:v>
      </x:c>
      <x:c r="G48" t="str">
        <x:v>확정</x:v>
      </x:c>
      <x:c r="H48" t="str">
        <x:v>AUTH-003/MY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6f3268de1b25401a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28" hidden="0" customWidth="1"/>
    <x:col min="4" max="4" width="18" hidden="0" customWidth="1"/>
    <x:col min="5" max="5" width="38" hidden="0" customWidth="1"/>
    <x:col min="6" max="6" width="34" hidden="0" customWidth="1"/>
    <x:col min="7" max="7" width="26" hidden="0" customWidth="1"/>
    <x:col min="8" max="8" width="14" hidden="0" customWidth="1"/>
    <x:col min="9" max="9" width="36" hidden="0" customWidth="1"/>
  </x:cols>
  <x:sheetData>
    <x:row r="1">
      <x:c r="A1" s="121" t="str">
        <x:v>DB 설계 최종 검증 · SQL 작성 직전</x:v>
      </x:c>
      <x:c r="B1" s="121"/>
      <x:c r="C1" s="121"/>
      <x:c r="D1" s="121"/>
      <x:c r="E1" s="121"/>
      <x:c r="F1" s="121"/>
      <x:c r="G1" s="121"/>
      <x:c r="H1" s="121"/>
      <x:c r="I1" s="121"/>
    </x:row>
    <x:row r="2">
      <x:c r="A2" s="122" t="str">
        <x:v>PK / FK / PostgreSQL Type / NULL / UNIQUE / DEFAULT / PostGIS 공간데이터 기준 최종 점검</x:v>
      </x:c>
      <x:c r="B2" s="122"/>
      <x:c r="C2" s="122"/>
      <x:c r="D2" s="122"/>
      <x:c r="E2" s="122"/>
      <x:c r="F2" s="122"/>
      <x:c r="G2" s="122"/>
      <x:c r="H2" s="122"/>
      <x:c r="I2" s="122"/>
    </x:row>
    <x:row r="3">
      <x:c r="A3" s="95"/>
      <x:c r="B3" s="95"/>
      <x:c r="C3" s="95"/>
      <x:c r="D3" s="95"/>
      <x:c r="E3" s="95"/>
      <x:c r="F3" s="95"/>
      <x:c r="G3" s="95"/>
      <x:c r="H3" s="95"/>
      <x:c r="I3" s="95"/>
    </x:row>
    <x:row r="4">
      <x:c r="A4" s="125" t="str">
        <x:v>검증 항목</x:v>
      </x:c>
      <x:c r="B4" s="126" t="str">
        <x:v>결과</x:v>
      </x:c>
      <x:c r="C4" s="95"/>
      <x:c r="D4" s="125" t="str">
        <x:v>판정</x:v>
      </x:c>
      <x:c r="E4" s="126" t="str">
        <x:v>내용</x:v>
      </x:c>
      <x:c r="F4" s="95"/>
      <x:c r="G4" s="95"/>
      <x:c r="H4" s="95"/>
      <x:c r="I4" s="95"/>
    </x:row>
    <x:row r="5">
      <x:c r="A5" s="127" t="str">
        <x:v>테이블 후보</x:v>
      </x:c>
      <x:c r="B5" s="128" t="str">
        <x:v>23개 (핵심 21 + 조건부 2)</x:v>
      </x:c>
      <x:c r="C5" s="95"/>
      <x:c r="D5" s="127" t="str">
        <x:v>전체 판정</x:v>
      </x:c>
      <x:c r="E5" s="128" t="str">
        <x:v>초기 schema.sql 작성 가능</x:v>
      </x:c>
      <x:c r="F5" s="95"/>
      <x:c r="G5" s="95"/>
      <x:c r="H5" s="95"/>
      <x:c r="I5" s="95"/>
    </x:row>
    <x:row r="6">
      <x:c r="A6" s="127" t="str">
        <x:v>컬럼</x:v>
      </x:c>
      <x:c r="B6" s="128" t="str">
        <x:v>198개</x:v>
      </x:c>
      <x:c r="C6" s="95"/>
      <x:c r="D6" s="127" t="str">
        <x:v>확정 수정</x:v>
      </x:c>
      <x:c r="E6" s="128" t="str">
        <x:v>입력 정규식 + email lowercase + 탈퇴 30일 삭제 정책까지 반영</x:v>
      </x:c>
      <x:c r="F6" s="95"/>
      <x:c r="G6" s="95"/>
      <x:c r="H6" s="95"/>
      <x:c r="I6" s="95"/>
    </x:row>
    <x:row r="7">
      <x:c r="A7" s="127" t="str">
        <x:v>FK</x:v>
      </x:c>
      <x:c r="B7" s="128" t="str">
        <x:v>24개 · 대상 타입 불일치 0건 · ON DELETE 권장안 기입</x:v>
      </x:c>
      <x:c r="C7" s="95"/>
      <x:c r="D7" s="127" t="str">
        <x:v>남은 확인</x:v>
      </x:c>
      <x:c r="E7" s="128" t="str">
        <x:v>TAAS/표준노드링크 세부 원본 컬럼 매핑만 외부 데이터 확보 후 확정</x:v>
      </x:c>
      <x:c r="F7" s="95"/>
      <x:c r="G7" s="95"/>
      <x:c r="H7" s="95"/>
      <x:c r="I7" s="95"/>
    </x:row>
    <x:row r="8">
      <x:c r="A8" s="129" t="str">
        <x:v>공간 컬럼</x:v>
      </x:c>
      <x:c r="B8" s="130" t="str">
        <x:v>9개 · 모두 PostGIS geometry + GiST 표기</x:v>
      </x:c>
      <x:c r="C8" s="95"/>
      <x:c r="D8" s="129" t="str">
        <x:v>조건부</x:v>
      </x:c>
      <x:c r="E8" s="130" t="str">
        <x:v>recent_searches / road_risk_scores</x:v>
      </x:c>
      <x:c r="F8" s="95"/>
      <x:c r="G8" s="95"/>
      <x:c r="H8" s="95"/>
      <x:c r="I8" s="95"/>
    </x:row>
    <x:row r="9">
      <x:c r="A9" s="95"/>
      <x:c r="B9" s="95"/>
      <x:c r="C9" s="95"/>
      <x:c r="D9" s="95"/>
      <x:c r="E9" s="95"/>
      <x:c r="F9" s="95"/>
      <x:c r="G9" s="95"/>
      <x:c r="H9" s="95"/>
      <x:c r="I9" s="95"/>
    </x:row>
    <x:row r="10">
      <x:c r="A10" s="125" t="str">
        <x:v>No</x:v>
      </x:c>
      <x:c r="B10" s="137" t="str">
        <x:v>우선순위</x:v>
      </x:c>
      <x:c r="C10" s="137" t="str">
        <x:v>대상</x:v>
      </x:c>
      <x:c r="D10" s="137" t="str">
        <x:v>검증 영역</x:v>
      </x:c>
      <x:c r="E10" s="137" t="str">
        <x:v>발견 내용</x:v>
      </x:c>
      <x:c r="F10" s="137" t="str">
        <x:v>최종 처리</x:v>
      </x:c>
      <x:c r="G10" s="137" t="str">
        <x:v>SQL 영향</x:v>
      </x:c>
      <x:c r="H10" s="137" t="str">
        <x:v>상태</x:v>
      </x:c>
      <x:c r="I10" s="126" t="str">
        <x:v>비고</x:v>
      </x:c>
    </x:row>
    <x:row r="11">
      <x:c r="A11" s="127" t="n">
        <x:v>1</x:v>
      </x:c>
      <x:c r="B11" s="138" t="str">
        <x:v>필수</x:v>
      </x:c>
      <x:c r="C11" s="138" t="str">
        <x:v>users.username</x:v>
      </x:c>
      <x:c r="D11" s="138" t="str">
        <x:v>NULL/UNIQUE</x:v>
      </x:c>
      <x:c r="E11" s="138" t="str">
        <x:v>Local 아이디 정규식 확정</x:v>
      </x:c>
      <x:c r="F11" s="138" t="str">
        <x:v>varchar(20), ^[a-z][a-z0-9_]{4,19}$</x:v>
      </x:c>
      <x:c r="G11" s="138" t="str">
        <x:v>NULL 허용은 소셜 가입만; Local은 CHECK</x:v>
      </x:c>
      <x:c r="H11" s="138" t="str">
        <x:v>확정</x:v>
      </x:c>
      <x:c r="I11" s="128" t="str">
        <x:v>5~20자, 소문자 시작</x:v>
      </x:c>
    </x:row>
    <x:row r="12">
      <x:c r="A12" s="127" t="n">
        <x:v>2</x:v>
      </x:c>
      <x:c r="B12" s="138" t="str">
        <x:v>필수</x:v>
      </x:c>
      <x:c r="C12" s="138" t="str">
        <x:v>users.email</x:v>
      </x:c>
      <x:c r="D12" s="138" t="str">
        <x:v>UNIQUE</x:v>
      </x:c>
      <x:c r="E12" s="138" t="str">
        <x:v>동일 이메일 Local/소셜 정책 확정</x:v>
      </x:c>
      <x:c r="F12" s="138" t="str">
        <x:v>UNIQUE 유지</x:v>
      </x:c>
      <x:c r="G12" s="138" t="str">
        <x:v>동일 이메일 별도 가입 차단</x:v>
      </x:c>
      <x:c r="H12" s="138" t="str">
        <x:v>확정</x:v>
      </x:c>
      <x:c r="I12" s="128" t="str">
        <x:v>기존 계정 로그인 또는 추후 명시적 연결</x:v>
      </x:c>
    </x:row>
    <x:row r="13">
      <x:c r="A13" s="127" t="n">
        <x:v>3</x:v>
      </x:c>
      <x:c r="B13" s="138" t="str">
        <x:v>필수</x:v>
      </x:c>
      <x:c r="C13" s="138" t="str">
        <x:v>users.is_active</x:v>
      </x:c>
      <x:c r="D13" s="138" t="str">
        <x:v>datatype/default</x:v>
      </x:c>
      <x:c r="E13" s="138" t="str">
        <x:v>회원 상태는 활성/탈퇴 2가지만 사용하기로 확정</x:v>
      </x:c>
      <x:c r="F13" s="138" t="str">
        <x:v>boolean NOT NULL DEFAULT true</x:v>
      </x:c>
      <x:c r="G13" s="138" t="str">
        <x:v>true=활성, false=탈퇴</x:v>
      </x:c>
      <x:c r="H13" s="138" t="str">
        <x:v>수정 반영</x:v>
      </x:c>
      <x:c r="I13" s="128" t="str">
        <x:v>탈퇴시 withdrawn_at 기록</x:v>
      </x:c>
    </x:row>
    <x:row r="14">
      <x:c r="A14" s="127" t="n">
        <x:v>4</x:v>
      </x:c>
      <x:c r="B14" s="138" t="str">
        <x:v>필수</x:v>
      </x:c>
      <x:c r="C14" s="138" t="str">
        <x:v>PK 전체</x:v>
      </x:c>
      <x:c r="D14" s="138" t="str">
        <x:v>UNIQUE</x:v>
      </x:c>
      <x:c r="E14" s="138" t="str">
        <x:v>PK 컬럼에 UNIQUE=Y를 중복 표기</x:v>
      </x:c>
      <x:c r="F14" s="138" t="str">
        <x:v>PK 자체 UNIQUE 사용</x:v>
      </x:c>
      <x:c r="G14" s="138" t="str">
        <x:v>중복 unique index 방지</x:v>
      </x:c>
      <x:c r="H14" s="138" t="str">
        <x:v>수정 반영</x:v>
      </x:c>
      <x:c r="I14" s="128" t="str">
        <x:v>26개 PK 행 정리</x:v>
      </x:c>
    </x:row>
    <x:row r="15">
      <x:c r="A15" s="127" t="n">
        <x:v>5</x:v>
      </x:c>
      <x:c r="B15" s="138" t="str">
        <x:v>필수</x:v>
      </x:c>
      <x:c r="C15" s="138" t="str">
        <x:v>auth_accounts.provider_user_id</x:v>
      </x:c>
      <x:c r="D15" s="138" t="str">
        <x:v>NULL/UNIQUE</x:v>
      </x:c>
      <x:c r="E15" s="138" t="str">
        <x:v>Local과 소셜 식별자 요구가 달랐음</x:v>
      </x:c>
      <x:c r="F15" s="138" t="str">
        <x:v>Local NULL, 소셜 provider ID 필수</x:v>
      </x:c>
      <x:c r="G15" s="138" t="str">
        <x:v>partial UNIQUE 필요</x:v>
      </x:c>
      <x:c r="H15" s="138" t="str">
        <x:v>수정 반영</x:v>
      </x:c>
      <x:c r="I15" s="128" t="str">
        <x:v>provider_idkey 명칭도 정리</x:v>
      </x:c>
    </x:row>
    <x:row r="16">
      <x:c r="A16" s="127" t="n">
        <x:v>6</x:v>
      </x:c>
      <x:c r="B16" s="138" t="str">
        <x:v>필수</x:v>
      </x:c>
      <x:c r="C16" s="138" t="str">
        <x:v>admin_sessions.expires_at</x:v>
      </x:c>
      <x:c r="D16" s="138" t="str">
        <x:v>NULL/default</x:v>
      </x:c>
      <x:c r="E16" s="138" t="str">
        <x:v>만료시각이 nullable이고 expired_at 명칭이 모호</x:v>
      </x:c>
      <x:c r="F16" s="138" t="str">
        <x:v>expires_at NOT NULL</x:v>
      </x:c>
      <x:c r="G16" s="138" t="str">
        <x:v>세션 만료 검증</x:v>
      </x:c>
      <x:c r="H16" s="138" t="str">
        <x:v>수정 반영</x:v>
      </x:c>
      <x:c r="I16" s="128" t="str">
        <x:v>로그아웃 시 row 삭제 또는 revoked_at 확장</x:v>
      </x:c>
    </x:row>
    <x:row r="17">
      <x:c r="A17" s="127" t="n">
        <x:v>7</x:v>
      </x:c>
      <x:c r="B17" s="138" t="str">
        <x:v>필수</x:v>
      </x:c>
      <x:c r="C17" s="138" t="str">
        <x:v>이메일 저장 정책</x:v>
      </x:c>
      <x:c r="D17" s="138" t="str">
        <x:v>datatype/UNIQUE</x:v>
      </x:c>
      <x:c r="E17" s="138" t="str">
        <x:v>citext 미사용으로 확정</x:v>
      </x:c>
      <x:c r="F17" s="138" t="str">
        <x:v>varchar(255) + Backend trim/lowercase + 일반 UNIQUE</x:v>
      </x:c>
      <x:c r="G17" s="138" t="str">
        <x:v>DB lowercase CHECK</x:v>
      </x:c>
      <x:c r="H17" s="138" t="str">
        <x:v>확정</x:v>
      </x:c>
      <x:c r="I17" s="128" t="str">
        <x:v>users/admins/email_verifications 동일 기준</x:v>
      </x:c>
    </x:row>
    <x:row r="18">
      <x:c r="A18" s="127" t="n">
        <x:v>8</x:v>
      </x:c>
      <x:c r="B18" s="138" t="str">
        <x:v>필수</x:v>
      </x:c>
      <x:c r="C18" s="138" t="str">
        <x:v>geometry 9개</x:v>
      </x:c>
      <x:c r="D18" s="138" t="str">
        <x:v>공간데이터</x:v>
      </x:c>
      <x:c r="E18" s="138" t="str">
        <x:v>PostGIS 선활성화 필요</x:v>
      </x:c>
      <x:c r="F18" s="138" t="str">
        <x:v>PostGIS 활성화 후 생성</x:v>
      </x:c>
      <x:c r="G18" s="138" t="str">
        <x:v>geometry + GiST</x:v>
      </x:c>
      <x:c r="H18" s="138" t="str">
        <x:v>확정</x:v>
      </x:c>
      <x:c r="I18" s="128" t="str">
        <x:v>extension schema/search_path는 schema.sql에서 통일</x:v>
      </x:c>
    </x:row>
    <x:row r="19">
      <x:c r="A19" s="127" t="n">
        <x:v>9</x:v>
      </x:c>
      <x:c r="B19" s="138" t="str">
        <x:v>높음</x:v>
      </x:c>
      <x:c r="C19" s="138" t="str">
        <x:v>identity PK 7개</x:v>
      </x:c>
      <x:c r="D19" s="138" t="str">
        <x:v>DEFAULT</x:v>
      </x:c>
      <x:c r="E19" s="138" t="str">
        <x:v>identity를 DEFAULT 값처럼 해석할 위험</x:v>
      </x:c>
      <x:c r="F19" s="138" t="str">
        <x:v>GENERATED BY DEFAULT AS IDENTITY로 표기</x:v>
      </x:c>
      <x:c r="G19" s="138" t="str">
        <x:v>DDL 문법 수정</x:v>
      </x:c>
      <x:c r="H19" s="138" t="str">
        <x:v>수정 반영</x:v>
      </x:c>
      <x:c r="I19" s="128" t="str">
        <x:v>bigint identity PK</x:v>
      </x:c>
    </x:row>
    <x:row r="20">
      <x:c r="A20" s="127" t="n">
        <x:v>10</x:v>
      </x:c>
      <x:c r="B20" s="138" t="str">
        <x:v>높음</x:v>
      </x:c>
      <x:c r="C20" s="138" t="str">
        <x:v>favorite_places.place_type</x:v>
      </x:c>
      <x:c r="D20" s="138" t="str">
        <x:v>UNIQUE</x:v>
      </x:c>
      <x:c r="E20" s="138" t="str">
        <x:v>home/work 각 1개 제약을 SQL 표현으로 구체화</x:v>
      </x:c>
      <x:c r="F20" s="138" t="str">
        <x:v>partial UNIQUE 명시</x:v>
      </x:c>
      <x:c r="G20" s="138" t="str">
        <x:v>home/work 중복 차단</x:v>
      </x:c>
      <x:c r="H20" s="138" t="str">
        <x:v>수정 반영</x:v>
      </x:c>
      <x:c r="I20" s="128" t="str">
        <x:v>전체 최대 5개는 Backend 검증</x:v>
      </x:c>
    </x:row>
    <x:row r="21">
      <x:c r="A21" s="127" t="n">
        <x:v>11</x:v>
      </x:c>
      <x:c r="B21" s="138" t="str">
        <x:v>높음</x:v>
      </x:c>
      <x:c r="C21" s="138" t="str">
        <x:v>route_candidates</x:v>
      </x:c>
      <x:c r="D21" s="138" t="str">
        <x:v>UNIQUE</x:v>
      </x:c>
      <x:c r="E21" s="138" t="str">
        <x:v>요청당 후보유형/선택후보 제약 구체화 필요</x:v>
      </x:c>
      <x:c r="F21" s="138" t="str">
        <x:v>복합/partial UNIQUE 명시</x:v>
      </x:c>
      <x:c r="G21" s="138" t="str">
        <x:v>후보 중복 방지</x:v>
      </x:c>
      <x:c r="H21" s="138" t="str">
        <x:v>수정 반영</x:v>
      </x:c>
      <x:c r="I21" s="128" t="str">
        <x:v>route_type별 1개, selected true 최대 1개</x:v>
      </x:c>
    </x:row>
    <x:row r="22">
      <x:c r="A22" s="127" t="n">
        <x:v>12</x:v>
      </x:c>
      <x:c r="B22" s="138" t="str">
        <x:v>높음</x:v>
      </x:c>
      <x:c r="C22" s="138" t="str">
        <x:v>data_update_logs</x:v>
      </x:c>
      <x:c r="D22" s="138" t="str">
        <x:v>CHECK</x:v>
      </x:c>
      <x:c r="E22" s="138" t="str">
        <x:v>처리건수 관계 검증이 느슨함</x:v>
      </x:c>
      <x:c r="F22" s="138" t="str">
        <x:v>processed=success+failure</x:v>
      </x:c>
      <x:c r="G22" s="138" t="str">
        <x:v>교차 CHECK</x:v>
      </x:c>
      <x:c r="H22" s="138" t="str">
        <x:v>수정 반영</x:v>
      </x:c>
      <x:c r="I22" s="128" t="str">
        <x:v>각 count 음수 방지</x:v>
      </x:c>
    </x:row>
    <x:row r="23">
      <x:c r="A23" s="127" t="n">
        <x:v>13</x:v>
      </x:c>
      <x:c r="B23" s="138" t="str">
        <x:v>필수</x:v>
      </x:c>
      <x:c r="C23" s="138" t="str">
        <x:v>traffic_accidents.geom</x:v>
      </x:c>
      <x:c r="D23" s="138" t="str">
        <x:v>공간데이터</x:v>
      </x:c>
      <x:c r="E23" s="138" t="str">
        <x:v>TAAS 원본 공간형식 Point 확인</x:v>
      </x:c>
      <x:c r="F23" s="138" t="str">
        <x:v>geometry(Point,4326) 확정</x:v>
      </x:c>
      <x:c r="G23" s="138" t="str">
        <x:v>PostGIS + GiST</x:v>
      </x:c>
      <x:c r="H23" s="138" t="str">
        <x:v>확정</x:v>
      </x:c>
      <x:c r="I23" s="128" t="str">
        <x:v>ID/시간/사고유형/심각도 필드명은 원본 샘플 기준 ETL 매핑</x:v>
      </x:c>
    </x:row>
    <x:row r="24">
      <x:c r="A24" s="127" t="n">
        <x:v>14</x:v>
      </x:c>
      <x:c r="B24" s="138" t="str">
        <x:v>권장</x:v>
      </x:c>
      <x:c r="C24" s="138" t="str">
        <x:v>updated_at 컬럼</x:v>
      </x:c>
      <x:c r="D24" s="138" t="str">
        <x:v>DEFAULT</x:v>
      </x:c>
      <x:c r="E24" s="138" t="str">
        <x:v>DEFAULT now()는 UPDATE 때 자동 변경되지 않음</x:v>
      </x:c>
      <x:c r="F24" s="138" t="str">
        <x:v>공통 trigger 또는 Backend에서 갱신</x:v>
      </x:c>
      <x:c r="G24" s="138" t="str">
        <x:v>DDL trigger 선택</x:v>
      </x:c>
      <x:c r="H24" s="138" t="str">
        <x:v>권장</x:v>
      </x:c>
      <x:c r="I24" s="128" t="str">
        <x:v>users/preferences/favorite_places/notices 등</x:v>
      </x:c>
    </x:row>
    <x:row r="25">
      <x:c r="A25" s="127" t="n">
        <x:v>15</x:v>
      </x:c>
      <x:c r="B25" s="138" t="str">
        <x:v>권장</x:v>
      </x:c>
      <x:c r="C25" s="138" t="str">
        <x:v>IP 컬럼</x:v>
      </x:c>
      <x:c r="D25" s="138" t="str">
        <x:v>NULL/보존</x:v>
      </x:c>
      <x:c r="E25" s="138" t="str">
        <x:v>세션·감사 외 IP는 MVP 필수 아님</x:v>
      </x:c>
      <x:c r="F25" s="138" t="str">
        <x:v>모두 nullable 유지, 보존기간 최소화</x:v>
      </x:c>
      <x:c r="G25" s="138" t="str">
        <x:v>세션·감사 목적 IP만 선택적으로 유지</x:v>
      </x:c>
      <x:c r="H25" s="138" t="str">
        <x:v>권장</x:v>
      </x:c>
      <x:c r="I25" s="128" t="str">
        <x:v>현재 설계에서 필수값은 없음</x:v>
      </x:c>
    </x:row>
    <x:row r="26">
      <x:c r="A26" s="129" t="n">
        <x:v>16</x:v>
      </x:c>
      <x:c r="B26" s="139" t="str">
        <x:v>권장</x:v>
      </x:c>
      <x:c r="C26" s="139" t="str">
        <x:v>FK 24개</x:v>
      </x:c>
      <x:c r="D26" s="139" t="str">
        <x:v>FK 정책</x:v>
      </x:c>
      <x:c r="E26" s="139" t="str">
        <x:v>탈퇴 30일 보관 후 hard delete 정책 확정</x:v>
      </x:c>
      <x:c r="F26" s="139" t="str">
        <x:v>사용자 연관 FK는 CASCADE</x:v>
      </x:c>
      <x:c r="G26" s="139" t="str">
        <x:v>30일 이후 일괄 삭제</x:v>
      </x:c>
      <x:c r="H26" s="139" t="str">
        <x:v>확정</x:v>
      </x:c>
      <x:c r="I26" s="130" t="str">
        <x:v>route_requests SET NULL / inquiries RESTRICT 제거; 30일 cleanup job 필요</x:v>
      </x:c>
    </x:row>
    <x:row r="27">
      <x:c r="A27" s="145"/>
      <x:c r="B27" s="146"/>
      <x:c r="C27" s="146"/>
      <x:c r="D27" s="146"/>
      <x:c r="E27" s="146"/>
      <x:c r="F27" s="146"/>
      <x:c r="G27" s="146"/>
      <x:c r="H27" s="146"/>
      <x:c r="I27" s="147"/>
    </x:row>
    <x:row r="28">
      <x:c r="A28" s="95" t="str">
        <x:v>공간 Table</x:v>
      </x:c>
      <x:c r="B28" s="95" t="str">
        <x:v>공간 Column</x:v>
      </x:c>
      <x:c r="C28" s="95" t="str">
        <x:v>Type</x:v>
      </x:c>
      <x:c r="D28" s="95" t="str">
        <x:v>NULL</x:v>
      </x:c>
      <x:c r="E28" s="95" t="str">
        <x:v>공간 Index</x:v>
      </x:c>
      <x:c r="F28" s="95" t="str">
        <x:v>최종 판정</x:v>
      </x:c>
      <x:c r="G28" s="95"/>
      <x:c r="H28" s="95"/>
      <x:c r="I28" s="95"/>
    </x:row>
    <x:row r="29">
      <x:c r="A29" s="125" t="str">
        <x:v>favorite_places</x:v>
      </x:c>
      <x:c r="B29" s="137" t="str">
        <x:v>geom</x:v>
      </x:c>
      <x:c r="C29" s="137" t="str">
        <x:v>geometry(Point,4326)</x:v>
      </x:c>
      <x:c r="D29" s="137" t="str">
        <x:v>N</x:v>
      </x:c>
      <x:c r="E29" s="137" t="str">
        <x:v>GIST</x:v>
      </x:c>
      <x:c r="F29" s="126" t="str">
        <x:v>OK</x:v>
      </x:c>
      <x:c r="G29" s="95"/>
      <x:c r="H29" s="95"/>
      <x:c r="I29" s="95"/>
    </x:row>
    <x:row r="30">
      <x:c r="A30" s="127" t="str">
        <x:v>route_requests</x:v>
      </x:c>
      <x:c r="B30" s="138" t="str">
        <x:v>origin_geom</x:v>
      </x:c>
      <x:c r="C30" s="138" t="str">
        <x:v>geometry(Point,4326)</x:v>
      </x:c>
      <x:c r="D30" s="138" t="str">
        <x:v>N</x:v>
      </x:c>
      <x:c r="E30" s="138" t="str">
        <x:v>GIST</x:v>
      </x:c>
      <x:c r="F30" s="128" t="str">
        <x:v>OK</x:v>
      </x:c>
      <x:c r="G30" s="95"/>
      <x:c r="H30" s="95"/>
      <x:c r="I30" s="95"/>
    </x:row>
    <x:row r="31">
      <x:c r="A31" s="127" t="str">
        <x:v>route_requests</x:v>
      </x:c>
      <x:c r="B31" s="138" t="str">
        <x:v>destination_geom</x:v>
      </x:c>
      <x:c r="C31" s="138" t="str">
        <x:v>geometry(Point,4326)</x:v>
      </x:c>
      <x:c r="D31" s="138" t="str">
        <x:v>N</x:v>
      </x:c>
      <x:c r="E31" s="138" t="str">
        <x:v>GIST</x:v>
      </x:c>
      <x:c r="F31" s="128" t="str">
        <x:v>OK</x:v>
      </x:c>
      <x:c r="G31" s="95"/>
      <x:c r="H31" s="95"/>
      <x:c r="I31" s="95"/>
    </x:row>
    <x:row r="32">
      <x:c r="A32" s="127" t="str">
        <x:v>route_candidates</x:v>
      </x:c>
      <x:c r="B32" s="138" t="str">
        <x:v>geom</x:v>
      </x:c>
      <x:c r="C32" s="138" t="str">
        <x:v>geometry(LineString,4326)</x:v>
      </x:c>
      <x:c r="D32" s="138" t="str">
        <x:v>N</x:v>
      </x:c>
      <x:c r="E32" s="138" t="str">
        <x:v>GIST</x:v>
      </x:c>
      <x:c r="F32" s="128" t="str">
        <x:v>OK</x:v>
      </x:c>
      <x:c r="G32" s="95"/>
      <x:c r="H32" s="95"/>
      <x:c r="I32" s="95"/>
    </x:row>
    <x:row r="33">
      <x:c r="A33" s="127" t="str">
        <x:v>service_areas</x:v>
      </x:c>
      <x:c r="B33" s="138" t="str">
        <x:v>geom</x:v>
      </x:c>
      <x:c r="C33" s="138" t="str">
        <x:v>geometry(MultiPolygon,4326)</x:v>
      </x:c>
      <x:c r="D33" s="138" t="str">
        <x:v>N</x:v>
      </x:c>
      <x:c r="E33" s="138" t="str">
        <x:v>GIST</x:v>
      </x:c>
      <x:c r="F33" s="128" t="str">
        <x:v>OK</x:v>
      </x:c>
      <x:c r="G33" s="95"/>
      <x:c r="H33" s="95"/>
      <x:c r="I33" s="95"/>
    </x:row>
    <x:row r="34">
      <x:c r="A34" s="127" t="str">
        <x:v>road_nodes</x:v>
      </x:c>
      <x:c r="B34" s="138" t="str">
        <x:v>geom</x:v>
      </x:c>
      <x:c r="C34" s="138" t="str">
        <x:v>geometry(Point,4326)</x:v>
      </x:c>
      <x:c r="D34" s="138" t="str">
        <x:v>N</x:v>
      </x:c>
      <x:c r="E34" s="138" t="str">
        <x:v>GIST</x:v>
      </x:c>
      <x:c r="F34" s="128" t="str">
        <x:v>OK</x:v>
      </x:c>
      <x:c r="G34" s="95"/>
      <x:c r="H34" s="95"/>
      <x:c r="I34" s="95"/>
    </x:row>
    <x:row r="35">
      <x:c r="A35" s="127" t="str">
        <x:v>road_links</x:v>
      </x:c>
      <x:c r="B35" s="138" t="str">
        <x:v>geom</x:v>
      </x:c>
      <x:c r="C35" s="138" t="str">
        <x:v>geometry(LineString,4326)</x:v>
      </x:c>
      <x:c r="D35" s="138" t="str">
        <x:v>N</x:v>
      </x:c>
      <x:c r="E35" s="138" t="str">
        <x:v>GIST</x:v>
      </x:c>
      <x:c r="F35" s="128" t="str">
        <x:v>OK</x:v>
      </x:c>
      <x:c r="G35" s="95"/>
      <x:c r="H35" s="95"/>
      <x:c r="I35" s="95"/>
    </x:row>
    <x:row r="36">
      <x:c r="A36" s="127" t="str">
        <x:v>traffic_accidents</x:v>
      </x:c>
      <x:c r="B36" s="138" t="str">
        <x:v>geom</x:v>
      </x:c>
      <x:c r="C36" s="138" t="str">
        <x:v>geometry(Point,4326)</x:v>
      </x:c>
      <x:c r="D36" s="138" t="str">
        <x:v>N</x:v>
      </x:c>
      <x:c r="E36" s="138" t="str">
        <x:v>GIST</x:v>
      </x:c>
      <x:c r="F36" s="128" t="str">
        <x:v>OK</x:v>
      </x:c>
      <x:c r="G36" s="95"/>
      <x:c r="H36" s="95"/>
      <x:c r="I36" s="95"/>
    </x:row>
    <x:row r="37">
      <x:c r="A37" s="127" t="str">
        <x:v>recent_searches (조건부)</x:v>
      </x:c>
      <x:c r="B37" s="138" t="str">
        <x:v>geom</x:v>
      </x:c>
      <x:c r="C37" s="138" t="str">
        <x:v>geometry(Point,4326)</x:v>
      </x:c>
      <x:c r="D37" s="138" t="str">
        <x:v>N</x:v>
      </x:c>
      <x:c r="E37" s="138" t="str">
        <x:v>GIST</x:v>
      </x:c>
      <x:c r="F37" s="128" t="str">
        <x:v>OK</x:v>
      </x:c>
      <x:c r="G37" s="95"/>
      <x:c r="H37" s="95"/>
      <x:c r="I37" s="95"/>
    </x:row>
    <x:row r="38">
      <x:c r="A38" s="129"/>
      <x:c r="B38" s="139"/>
      <x:c r="C38" s="139"/>
      <x:c r="D38" s="139"/>
      <x:c r="E38" s="139"/>
      <x:c r="F38" s="130"/>
      <x:c r="G38" s="95"/>
      <x:c r="H38" s="95"/>
      <x:c r="I38" s="95"/>
    </x:row>
    <x:row r="39">
      <x:c r="A39" s="95"/>
      <x:c r="B39" s="95"/>
      <x:c r="C39" s="95"/>
      <x:c r="D39" s="95"/>
      <x:c r="E39" s="95"/>
      <x:c r="F39" s="95"/>
      <x:c r="G39" s="95"/>
      <x:c r="H39" s="95"/>
      <x:c r="I39" s="95"/>
    </x:row>
    <x:row r="40">
      <x:c r="A40" s="95" t="str">
        <x:v>사전 작업</x:v>
      </x:c>
      <x:c r="B40" s="95" t="str">
        <x:v>대상</x:v>
      </x:c>
      <x:c r="C40" s="95" t="str">
        <x:v>결정</x:v>
      </x:c>
      <x:c r="D40" s="95" t="str">
        <x:v>SQL 예시/주의</x:v>
      </x:c>
      <x:c r="E40" s="95" t="str">
        <x:v>상태</x:v>
      </x:c>
      <x:c r="F40" s="95" t="str">
        <x:v>근거</x:v>
      </x:c>
      <x:c r="G40" s="95"/>
      <x:c r="H40" s="95"/>
      <x:c r="I40" s="95"/>
    </x:row>
    <x:row r="41">
      <x:c r="A41" s="125" t="str">
        <x:v>Extension</x:v>
      </x:c>
      <x:c r="B41" s="137" t="str">
        <x:v>PostGIS</x:v>
      </x:c>
      <x:c r="C41" s="137" t="str">
        <x:v>테이블 생성 전 활성화</x:v>
      </x:c>
      <x:c r="D41" s="137" t="str">
        <x:v>PostGIS 설치 schema를 gis 또는 extensions 중 하나로 통일</x:v>
      </x:c>
      <x:c r="E41" s="137" t="str">
        <x:v>필수</x:v>
      </x:c>
      <x:c r="F41" s="126" t="str">
        <x:v>https://supabase.com/docs/guides/database/extensions/postgis</x:v>
      </x:c>
      <x:c r="G41" s="95"/>
      <x:c r="H41" s="95"/>
      <x:c r="I41" s="95"/>
    </x:row>
    <x:row r="42">
      <x:c r="A42" s="127" t="str">
        <x:v>UUID</x:v>
      </x:c>
      <x:c r="B42" s="138" t="str">
        <x:v>gen_random_uuid()</x:v>
      </x:c>
      <x:c r="C42" s="138" t="str">
        <x:v>현재 PostgreSQL 내장 함수 사용 가능</x:v>
      </x:c>
      <x:c r="D42" s="138" t="str">
        <x:v>uuid PK default로 사용</x:v>
      </x:c>
      <x:c r="E42" s="138" t="str">
        <x:v>OK</x:v>
      </x:c>
      <x:c r="F42" s="128" t="str">
        <x:v>https://www.postgresql.org/docs/current/functions-uuid.html</x:v>
      </x:c>
      <x:c r="G42" s="95"/>
      <x:c r="H42" s="95"/>
      <x:c r="I42" s="95"/>
    </x:row>
    <x:row r="43">
      <x:c r="A43" s="127"/>
      <x:c r="B43" s="138"/>
      <x:c r="C43" s="138"/>
      <x:c r="D43" s="138"/>
      <x:c r="E43" s="138"/>
      <x:c r="F43" s="128"/>
      <x:c r="G43" s="95"/>
      <x:c r="H43" s="95"/>
      <x:c r="I43" s="95"/>
    </x:row>
    <x:row r="44">
      <x:c r="A44" s="129"/>
      <x:c r="B44" s="139"/>
      <x:c r="C44" s="139"/>
      <x:c r="D44" s="139"/>
      <x:c r="E44" s="139"/>
      <x:c r="F44" s="130"/>
      <x:c r="G44" s="95"/>
      <x:c r="H44" s="95"/>
      <x:c r="I44" s="95"/>
    </x:row>
    <x:row r="45">
      <x:c r="A45" s="95" t="str">
        <x:v>남은 결정</x:v>
      </x:c>
      <x:c r="B45" s="95" t="str">
        <x:v>DB 영향</x:v>
      </x:c>
      <x:c r="C45" s="95" t="str">
        <x:v>현재 권장</x:v>
      </x:c>
      <x:c r="D45" s="95" t="str">
        <x:v>schema.sql 1차 작성</x:v>
      </x:c>
      <x:c r="E45" s="95" t="str">
        <x:v>최종 확정 시점</x:v>
      </x:c>
      <x:c r="F45" s="95" t="str">
        <x:v>담당</x:v>
      </x:c>
      <x:c r="G45" s="95" t="str">
        <x:v>비고</x:v>
      </x:c>
      <x:c r="H45" s="95"/>
      <x:c r="I45" s="95"/>
    </x:row>
    <x:row r="46">
      <x:c r="A46" s="95" t="str">
        <x:v>TAAS 세부 원본 필드</x:v>
      </x:c>
      <x:c r="B46" s="95" t="str">
        <x:v>traffic_accidents 비공간 컬럼</x:v>
      </x:c>
      <x:c r="C46" s="95" t="str">
        <x:v>geom은 Point 확정; ID/시간/유형/심각도는 샘플 필드명에 맞춤</x:v>
      </x:c>
      <x:c r="D46" s="95" t="str">
        <x:v>가능</x:v>
      </x:c>
      <x:c r="E46" s="95" t="str">
        <x:v>ETL 작성 전</x:v>
      </x:c>
      <x:c r="F46" s="95" t="str">
        <x:v>Data</x:v>
      </x:c>
      <x:c r="G46" s="95" t="str">
        <x:v>geometry 관련 확인은 완료</x:v>
      </x:c>
      <x:c r="H46" s="95"/>
      <x:c r="I46" s="95"/>
    </x:row>
    <x:row r="47">
      <x:c r="A47" s="125" t="str">
        <x:v>road_risk_scores 생성</x:v>
      </x:c>
      <x:c r="B47" s="137" t="str">
        <x:v>조건부 테이블</x:v>
      </x:c>
      <x:c r="C47" s="137" t="str">
        <x:v>초기 요청 시 계산, 성능 필요 시 영속화</x:v>
      </x:c>
      <x:c r="D47" s="137" t="str">
        <x:v>미생성 권장</x:v>
      </x:c>
      <x:c r="E47" s="137" t="str">
        <x:v>모델 구조 확정 후</x:v>
      </x:c>
      <x:c r="F47" s="137" t="str">
        <x:v>Model</x:v>
      </x:c>
      <x:c r="G47" s="126" t="str">
        <x:v>현재 조건부</x:v>
      </x:c>
      <x:c r="H47" s="95"/>
      <x:c r="I47" s="95"/>
    </x:row>
    <x:row r="48">
      <x:c r="A48" s="127"/>
      <x:c r="B48" s="138"/>
      <x:c r="C48" s="138"/>
      <x:c r="D48" s="138"/>
      <x:c r="E48" s="138"/>
      <x:c r="F48" s="138"/>
      <x:c r="G48" s="128"/>
      <x:c r="H48" s="95"/>
      <x:c r="I48" s="95"/>
    </x:row>
    <x:row r="49">
      <x:c r="A49" s="127"/>
      <x:c r="B49" s="138"/>
      <x:c r="C49" s="138"/>
      <x:c r="D49" s="138"/>
      <x:c r="E49" s="138"/>
      <x:c r="F49" s="138"/>
      <x:c r="G49" s="128"/>
      <x:c r="H49" s="95"/>
      <x:c r="I49" s="95"/>
    </x:row>
    <x:row r="50">
      <x:c r="A50" s="127"/>
      <x:c r="B50" s="138"/>
      <x:c r="C50" s="138"/>
      <x:c r="D50" s="138"/>
      <x:c r="E50" s="138"/>
      <x:c r="F50" s="138"/>
      <x:c r="G50" s="128"/>
      <x:c r="H50" s="95"/>
      <x:c r="I50" s="95"/>
    </x:row>
    <x:row r="51">
      <x:c r="A51" s="127"/>
      <x:c r="B51" s="138"/>
      <x:c r="C51" s="138"/>
      <x:c r="D51" s="138"/>
      <x:c r="E51" s="138"/>
      <x:c r="F51" s="138"/>
      <x:c r="G51" s="128"/>
      <x:c r="H51" s="95"/>
      <x:c r="I51" s="95"/>
    </x:row>
    <x:row r="52">
      <x:c r="A52" s="129"/>
      <x:c r="B52" s="139"/>
      <x:c r="C52" s="139"/>
      <x:c r="D52" s="139"/>
      <x:c r="E52" s="139"/>
      <x:c r="F52" s="139"/>
      <x:c r="G52" s="130"/>
      <x:c r="H52" s="95"/>
      <x:c r="I52" s="95"/>
    </x:row>
    <x:row r="53">
      <x:c r="A53" s="95"/>
      <x:c r="B53" s="95"/>
      <x:c r="C53" s="95"/>
      <x:c r="D53" s="95"/>
      <x:c r="E53" s="95"/>
      <x:c r="F53" s="95"/>
      <x:c r="G53" s="95"/>
      <x:c r="H53" s="95"/>
      <x:c r="I53" s="95"/>
    </x:row>
    <x:row r="54">
      <x:c r="A54" s="95"/>
      <x:c r="B54" s="95"/>
      <x:c r="C54" s="95"/>
      <x:c r="D54" s="95"/>
      <x:c r="E54" s="95"/>
      <x:c r="F54" s="95"/>
      <x:c r="G54" s="95"/>
      <x:c r="H54" s="95"/>
      <x:c r="I54" s="95"/>
    </x:row>
    <x:row r="55">
      <x:c r="A55" s="95"/>
      <x:c r="B55" s="95"/>
      <x:c r="C55" s="95"/>
      <x:c r="D55" s="95"/>
      <x:c r="E55" s="95"/>
      <x:c r="F55" s="95"/>
      <x:c r="G55" s="95"/>
      <x:c r="H55" s="95"/>
      <x:c r="I55" s="95"/>
    </x:row>
    <x:row r="56">
      <x:c r="A56" s="95"/>
      <x:c r="B56" s="95"/>
      <x:c r="C56" s="95"/>
      <x:c r="D56" s="95"/>
      <x:c r="E56" s="95"/>
      <x:c r="F56" s="95"/>
      <x:c r="G56" s="95"/>
      <x:c r="H56" s="95"/>
      <x:c r="I56" s="95"/>
    </x:row>
    <x:row r="57">
      <x:c r="A57" s="95"/>
      <x:c r="B57" s="95"/>
      <x:c r="C57" s="95"/>
      <x:c r="D57" s="95"/>
      <x:c r="E57" s="95"/>
      <x:c r="F57" s="95"/>
      <x:c r="G57" s="95"/>
      <x:c r="H57" s="95"/>
      <x:c r="I57" s="95"/>
    </x:row>
    <x:row r="58">
      <x:c r="A58" s="95"/>
      <x:c r="B58" s="95"/>
      <x:c r="C58" s="95"/>
      <x:c r="D58" s="95"/>
      <x:c r="E58" s="95"/>
      <x:c r="F58" s="95"/>
      <x:c r="G58" s="95"/>
      <x:c r="H58" s="95"/>
      <x:c r="I58" s="95"/>
    </x:row>
    <x:row r="59">
      <x:c r="A59" s="95"/>
      <x:c r="B59" s="95"/>
      <x:c r="C59" s="95"/>
      <x:c r="D59" s="95"/>
      <x:c r="E59" s="95"/>
      <x:c r="F59" s="95"/>
      <x:c r="G59" s="95"/>
      <x:c r="H59" s="95"/>
      <x:c r="I59" s="95"/>
    </x:row>
    <x:row r="60">
      <x:c r="A60" s="95"/>
      <x:c r="B60" s="95"/>
      <x:c r="C60" s="95"/>
      <x:c r="D60" s="95"/>
      <x:c r="E60" s="95"/>
      <x:c r="F60" s="95"/>
      <x:c r="G60" s="95"/>
      <x:c r="H60" s="95"/>
      <x:c r="I60" s="95"/>
    </x:row>
    <x:row r="61">
      <x:c r="A61" s="95"/>
      <x:c r="B61" s="95"/>
      <x:c r="C61" s="95"/>
      <x:c r="D61" s="95"/>
      <x:c r="E61" s="95"/>
      <x:c r="F61" s="95"/>
      <x:c r="G61" s="95"/>
      <x:c r="H61" s="95"/>
      <x:c r="I61" s="95"/>
    </x:row>
    <x:row r="62">
      <x:c r="A62" s="95"/>
      <x:c r="B62" s="95"/>
      <x:c r="C62" s="95"/>
      <x:c r="D62" s="95"/>
      <x:c r="E62" s="95"/>
      <x:c r="F62" s="95"/>
      <x:c r="G62" s="95"/>
      <x:c r="H62" s="95"/>
      <x:c r="I62" s="95"/>
    </x:row>
    <x:row r="63">
      <x:c r="A63" s="95"/>
      <x:c r="B63" s="95"/>
      <x:c r="C63" s="95"/>
      <x:c r="D63" s="95"/>
      <x:c r="E63" s="95"/>
      <x:c r="F63" s="95"/>
      <x:c r="G63" s="95"/>
      <x:c r="H63" s="95"/>
      <x:c r="I63" s="95"/>
    </x:row>
    <x:row r="64">
      <x:c r="A64" s="95"/>
      <x:c r="B64" s="95"/>
      <x:c r="C64" s="95"/>
      <x:c r="D64" s="95"/>
      <x:c r="E64" s="95"/>
      <x:c r="F64" s="95"/>
      <x:c r="G64" s="95"/>
      <x:c r="H64" s="95"/>
      <x:c r="I64" s="95"/>
    </x:row>
    <x:row r="65">
      <x:c r="A65" s="95"/>
      <x:c r="B65" s="95"/>
      <x:c r="C65" s="95"/>
      <x:c r="D65" s="95"/>
      <x:c r="E65" s="95"/>
      <x:c r="F65" s="95"/>
      <x:c r="G65" s="95"/>
      <x:c r="H65" s="95"/>
      <x:c r="I65" s="95"/>
    </x:row>
    <x:row r="66">
      <x:c r="A66" s="95"/>
      <x:c r="B66" s="95"/>
      <x:c r="C66" s="95"/>
      <x:c r="D66" s="95"/>
      <x:c r="E66" s="95"/>
      <x:c r="F66" s="95"/>
      <x:c r="G66" s="95"/>
      <x:c r="H66" s="95"/>
      <x:c r="I66" s="95"/>
    </x:row>
    <x:row r="67">
      <x:c r="A67" s="95"/>
      <x:c r="B67" s="95"/>
      <x:c r="C67" s="95"/>
      <x:c r="D67" s="95"/>
      <x:c r="E67" s="95"/>
      <x:c r="F67" s="95"/>
      <x:c r="G67" s="95"/>
      <x:c r="H67" s="95"/>
      <x:c r="I67" s="95"/>
    </x:row>
    <x:row r="68">
      <x:c r="A68" s="95"/>
      <x:c r="B68" s="95"/>
      <x:c r="C68" s="95"/>
      <x:c r="D68" s="95"/>
      <x:c r="E68" s="95"/>
      <x:c r="F68" s="95"/>
      <x:c r="G68" s="95"/>
      <x:c r="H68" s="95"/>
      <x:c r="I68" s="95"/>
    </x:row>
    <x:row r="69">
      <x:c r="A69" s="95"/>
      <x:c r="B69" s="95"/>
      <x:c r="C69" s="95"/>
      <x:c r="D69" s="95"/>
      <x:c r="E69" s="95"/>
      <x:c r="F69" s="95"/>
      <x:c r="G69" s="95"/>
      <x:c r="H69" s="95"/>
      <x:c r="I69" s="95"/>
    </x:row>
    <x:row r="70">
      <x:c r="A70" s="95"/>
      <x:c r="B70" s="95"/>
      <x:c r="C70" s="95"/>
      <x:c r="D70" s="95"/>
      <x:c r="E70" s="95"/>
      <x:c r="F70" s="95"/>
      <x:c r="G70" s="95"/>
      <x:c r="H70" s="95"/>
      <x:c r="I70" s="95"/>
    </x:row>
    <x:row r="71">
      <x:c r="A71" s="95"/>
      <x:c r="B71" s="95"/>
      <x:c r="C71" s="95"/>
      <x:c r="D71" s="95"/>
      <x:c r="E71" s="95"/>
      <x:c r="F71" s="95"/>
      <x:c r="G71" s="95"/>
      <x:c r="H71" s="95"/>
      <x:c r="I71" s="95"/>
    </x:row>
    <x:row r="72">
      <x:c r="A72" s="95"/>
      <x:c r="B72" s="95"/>
      <x:c r="C72" s="95"/>
      <x:c r="D72" s="95"/>
      <x:c r="E72" s="95"/>
      <x:c r="F72" s="95"/>
      <x:c r="G72" s="95"/>
      <x:c r="H72" s="95"/>
      <x:c r="I72" s="95"/>
    </x:row>
    <x:row r="73">
      <x:c r="A73" s="95"/>
      <x:c r="B73" s="95"/>
      <x:c r="C73" s="95"/>
      <x:c r="D73" s="95"/>
      <x:c r="E73" s="95"/>
      <x:c r="F73" s="95"/>
      <x:c r="G73" s="95"/>
      <x:c r="H73" s="95"/>
      <x:c r="I73" s="95"/>
    </x:row>
    <x:row r="74">
      <x:c r="A74" s="95"/>
      <x:c r="B74" s="95"/>
      <x:c r="C74" s="95"/>
      <x:c r="D74" s="95"/>
      <x:c r="E74" s="95"/>
      <x:c r="F74" s="95"/>
      <x:c r="G74" s="95"/>
      <x:c r="H74" s="95"/>
      <x:c r="I74" s="95"/>
    </x:row>
    <x:row r="75">
      <x:c r="A75" s="95"/>
      <x:c r="B75" s="95"/>
      <x:c r="C75" s="95"/>
      <x:c r="D75" s="95"/>
      <x:c r="E75" s="95"/>
      <x:c r="F75" s="95"/>
      <x:c r="G75" s="95"/>
      <x:c r="H75" s="95"/>
      <x:c r="I75" s="95"/>
    </x:row>
    <x:row r="76">
      <x:c r="A76" s="95"/>
      <x:c r="B76" s="95"/>
      <x:c r="C76" s="95"/>
      <x:c r="D76" s="95"/>
      <x:c r="E76" s="95"/>
      <x:c r="F76" s="95"/>
      <x:c r="G76" s="95"/>
      <x:c r="H76" s="95"/>
      <x:c r="I76" s="95"/>
    </x:row>
    <x:row r="77">
      <x:c r="A77" s="95"/>
      <x:c r="B77" s="95"/>
      <x:c r="C77" s="95"/>
      <x:c r="D77" s="95"/>
      <x:c r="E77" s="95"/>
      <x:c r="F77" s="95"/>
      <x:c r="G77" s="95"/>
      <x:c r="H77" s="95"/>
      <x:c r="I77" s="95"/>
    </x:row>
    <x:row r="78">
      <x:c r="A78" s="95"/>
      <x:c r="B78" s="95"/>
      <x:c r="C78" s="95"/>
      <x:c r="D78" s="95"/>
      <x:c r="E78" s="95"/>
      <x:c r="F78" s="95"/>
      <x:c r="G78" s="95"/>
      <x:c r="H78" s="95"/>
      <x:c r="I78" s="95"/>
    </x:row>
    <x:row r="79">
      <x:c r="A79" s="95"/>
      <x:c r="B79" s="95"/>
      <x:c r="C79" s="95"/>
      <x:c r="D79" s="95"/>
      <x:c r="E79" s="95"/>
      <x:c r="F79" s="95"/>
      <x:c r="G79" s="95"/>
      <x:c r="H79" s="95"/>
      <x:c r="I79" s="95"/>
    </x:row>
    <x:row r="80">
      <x:c r="A80" s="95"/>
      <x:c r="B80" s="95"/>
      <x:c r="C80" s="95"/>
      <x:c r="D80" s="95"/>
      <x:c r="E80" s="95"/>
      <x:c r="F80" s="95"/>
      <x:c r="G80" s="95"/>
      <x:c r="H80" s="95"/>
      <x:c r="I80" s="95"/>
    </x:row>
  </x:sheetData>
  <x:mergeCells>
    <x:mergeCell ref="A1:I1"/>
    <x:mergeCell ref="A2:I2"/>
  </x:mergeCells>
  <x:conditionalFormatting sqref="H11:H26">
    <x:cfRule type="expression" dxfId="5" priority="1">
      <x:formula>H11="확인 필요"</x:formula>
    </x:cfRule>
    <x:cfRule type="expression" dxfId="6" priority="2">
      <x:formula>H11="수정 반영"</x:formula>
    </x:cfRule>
    <x:cfRule type="expression" dxfId="7" priority="3">
      <x:formula>H11="확정"</x:formula>
    </x:cfRule>
    <x:cfRule type="expression" dxfId="8" priority="4">
      <x:formula>H11="권장"</x:formula>
    </x:cfRule>
  </x:conditionalFormatting>
  <x:conditionalFormatting sqref="H11:H27">
    <x:cfRule type="expression" dxfId="9" priority="5">
      <x:formula>H11="확인 필요"</x:formula>
    </x:cfRule>
    <x:cfRule type="expression" dxfId="10" priority="6">
      <x:formula>H11="수정 반영"</x:formula>
    </x:cfRule>
    <x:cfRule type="expression" dxfId="11" priority="7">
      <x:formula>H11="확정"</x:formula>
    </x:cfRule>
    <x:cfRule type="expression" dxfId="12" priority="8">
      <x:formula>H11="권장"</x:formula>
    </x:cfRule>
  </x:conditionalFormatting>
  <x:pageMargins left="0.7" right="0.7" top="0.75" bottom="0.75" header="0.3" footer="0.3"/>
</x:worksheet>
</file>